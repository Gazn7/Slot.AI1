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lena\Downloads\"/>
    </mc:Choice>
  </mc:AlternateContent>
  <xr:revisionPtr revIDLastSave="0" documentId="13_ncr:1_{B9444635-475D-40F7-ABCB-89F91BEFB900}" xr6:coauthVersionLast="47" xr6:coauthVersionMax="47" xr10:uidLastSave="{00000000-0000-0000-0000-000000000000}"/>
  <bookViews>
    <workbookView xWindow="-110" yWindow="-110" windowWidth="19420" windowHeight="12300" tabRatio="758" firstSheet="3" activeTab="1" xr2:uid="{00000000-000D-0000-FFFF-FFFF00000000}"/>
  </bookViews>
  <sheets>
    <sheet name="Game summary" sheetId="3" r:id="rId1"/>
    <sheet name="Base Game Calculations" sheetId="4" r:id="rId2"/>
    <sheet name="Feature Game Calculations" sheetId="24" r:id="rId3"/>
    <sheet name="Reel strips" sheetId="23" r:id="rId4"/>
    <sheet name="Standard Dev" sheetId="19" r:id="rId5"/>
  </sheets>
  <definedNames>
    <definedName name="_xlnm._FilterDatabase" localSheetId="3" hidden="1">'Reel strips'!#REF!</definedName>
    <definedName name="_xlnm.Print_Titles" localSheetId="0">'Game summary'!#REF!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5" i="23" l="1"/>
  <c r="S26" i="23"/>
  <c r="S27" i="23"/>
  <c r="S28" i="23"/>
  <c r="S29" i="23"/>
  <c r="S30" i="23"/>
  <c r="S31" i="23"/>
  <c r="S32" i="23"/>
  <c r="S33" i="23"/>
  <c r="S34" i="23"/>
  <c r="S35" i="23"/>
  <c r="S36" i="23"/>
  <c r="S37" i="23"/>
  <c r="S38" i="23"/>
  <c r="S39" i="23"/>
  <c r="S40" i="23"/>
  <c r="S41" i="23"/>
  <c r="S42" i="23"/>
  <c r="S43" i="23"/>
  <c r="S44" i="23"/>
  <c r="S45" i="23"/>
  <c r="S46" i="23"/>
  <c r="S47" i="23"/>
  <c r="S48" i="23"/>
  <c r="S49" i="23"/>
  <c r="S50" i="23"/>
  <c r="S51" i="23"/>
  <c r="S52" i="23"/>
  <c r="S53" i="23"/>
  <c r="S54" i="23"/>
  <c r="S55" i="23"/>
  <c r="S56" i="23"/>
  <c r="S57" i="23"/>
  <c r="S58" i="23"/>
  <c r="S59" i="23"/>
  <c r="S60" i="23"/>
  <c r="S61" i="23"/>
  <c r="S62" i="23"/>
  <c r="S63" i="23"/>
  <c r="S64" i="23"/>
  <c r="S65" i="23"/>
  <c r="S66" i="23"/>
  <c r="S67" i="23"/>
  <c r="S68" i="23"/>
  <c r="S69" i="23"/>
  <c r="S70" i="23"/>
  <c r="S71" i="23"/>
  <c r="S72" i="23"/>
  <c r="S73" i="23"/>
  <c r="S74" i="23"/>
  <c r="S24" i="23"/>
  <c r="Q74" i="23"/>
  <c r="Q75" i="23"/>
  <c r="Q76" i="23"/>
  <c r="Q77" i="23"/>
  <c r="Q78" i="23"/>
  <c r="Q79" i="23"/>
  <c r="Q80" i="23"/>
  <c r="Q81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42" i="23"/>
  <c r="Q43" i="23"/>
  <c r="Q44" i="23"/>
  <c r="Q45" i="23"/>
  <c r="Q46" i="23"/>
  <c r="Q47" i="23"/>
  <c r="Q48" i="23"/>
  <c r="Q49" i="23"/>
  <c r="Q50" i="23"/>
  <c r="Q51" i="23"/>
  <c r="Q52" i="23"/>
  <c r="Q53" i="23"/>
  <c r="Q54" i="23"/>
  <c r="Q55" i="23"/>
  <c r="Q56" i="23"/>
  <c r="Q57" i="23"/>
  <c r="Q58" i="23"/>
  <c r="Q59" i="23"/>
  <c r="Q60" i="23"/>
  <c r="Q61" i="23"/>
  <c r="Q62" i="23"/>
  <c r="Q63" i="23"/>
  <c r="Q64" i="23"/>
  <c r="Q65" i="23"/>
  <c r="Q66" i="23"/>
  <c r="Q67" i="23"/>
  <c r="Q68" i="23"/>
  <c r="Q69" i="23"/>
  <c r="Q70" i="23"/>
  <c r="Q71" i="23"/>
  <c r="Q72" i="23"/>
  <c r="Q73" i="23"/>
  <c r="Q24" i="23"/>
  <c r="B51" i="3"/>
  <c r="B52" i="3"/>
  <c r="B53" i="3"/>
  <c r="B54" i="3"/>
  <c r="B45" i="3"/>
  <c r="B46" i="3"/>
  <c r="B47" i="3"/>
  <c r="B48" i="3"/>
  <c r="B39" i="3"/>
  <c r="B40" i="3"/>
  <c r="B41" i="3"/>
  <c r="B42" i="3"/>
  <c r="B33" i="3"/>
  <c r="B34" i="3"/>
  <c r="B35" i="3"/>
  <c r="B36" i="3"/>
  <c r="B27" i="3"/>
  <c r="B28" i="3"/>
  <c r="B29" i="3"/>
  <c r="B30" i="3"/>
  <c r="B21" i="3"/>
  <c r="B22" i="3"/>
  <c r="B23" i="3"/>
  <c r="B24" i="3"/>
  <c r="B15" i="3"/>
  <c r="B16" i="3"/>
  <c r="B17" i="3"/>
  <c r="B18" i="3"/>
  <c r="B9" i="3"/>
  <c r="B10" i="3"/>
  <c r="B11" i="3"/>
  <c r="B12" i="3"/>
  <c r="E9" i="3"/>
  <c r="E10" i="3"/>
  <c r="E11" i="3"/>
  <c r="E12" i="3"/>
  <c r="E15" i="3"/>
  <c r="E16" i="3"/>
  <c r="E17" i="3"/>
  <c r="E18" i="3"/>
  <c r="E27" i="3"/>
  <c r="E28" i="3"/>
  <c r="E29" i="3"/>
  <c r="E30" i="3"/>
  <c r="E21" i="3"/>
  <c r="E22" i="3"/>
  <c r="E23" i="3"/>
  <c r="E24" i="3"/>
  <c r="P10" i="3"/>
  <c r="A10" i="24"/>
  <c r="H9" i="23"/>
  <c r="P11" i="3"/>
  <c r="A11" i="24"/>
  <c r="P12" i="3"/>
  <c r="A12" i="24"/>
  <c r="H11" i="23"/>
  <c r="H88" i="23"/>
  <c r="P13" i="3"/>
  <c r="P14" i="3"/>
  <c r="P15" i="3"/>
  <c r="A15" i="24"/>
  <c r="A30" i="24"/>
  <c r="H45" i="24"/>
  <c r="P16" i="3"/>
  <c r="P17" i="3"/>
  <c r="P18" i="3"/>
  <c r="A18" i="24"/>
  <c r="A33" i="24"/>
  <c r="A48" i="24"/>
  <c r="P19" i="3"/>
  <c r="A19" i="24"/>
  <c r="A34" i="24"/>
  <c r="H34" i="24"/>
  <c r="P20" i="3"/>
  <c r="P9" i="3"/>
  <c r="A9" i="24"/>
  <c r="A39" i="24"/>
  <c r="H39" i="24"/>
  <c r="F26" i="3" a="1"/>
  <c r="F26" i="3"/>
  <c r="F20" i="3" a="1"/>
  <c r="F20" i="3"/>
  <c r="F14" i="3" a="1"/>
  <c r="F14" i="3"/>
  <c r="F8" i="3" a="1"/>
  <c r="F8" i="3"/>
  <c r="C50" i="3" a="1"/>
  <c r="C50" i="3"/>
  <c r="C44" i="3" a="1"/>
  <c r="C44" i="3"/>
  <c r="C38" i="3" a="1"/>
  <c r="C38" i="3"/>
  <c r="C32" i="3" a="1"/>
  <c r="C32" i="3"/>
  <c r="C26" i="3" a="1"/>
  <c r="C26" i="3"/>
  <c r="C20" i="3" a="1"/>
  <c r="C20" i="3"/>
  <c r="C14" i="3" a="1"/>
  <c r="C14" i="3"/>
  <c r="C8" i="3" a="1"/>
  <c r="C8" i="3"/>
  <c r="A16" i="24"/>
  <c r="H15" i="23"/>
  <c r="H92" i="23"/>
  <c r="A17" i="24"/>
  <c r="A32" i="24"/>
  <c r="H32" i="24"/>
  <c r="A20" i="24"/>
  <c r="H19" i="23"/>
  <c r="H96" i="23"/>
  <c r="A13" i="24"/>
  <c r="H12" i="23"/>
  <c r="A14" i="24"/>
  <c r="A29" i="24"/>
  <c r="A44" i="24"/>
  <c r="A18" i="4"/>
  <c r="A33" i="4"/>
  <c r="H102" i="4"/>
  <c r="A103" i="4"/>
  <c r="A19" i="4"/>
  <c r="A34" i="4"/>
  <c r="A20" i="4"/>
  <c r="A35" i="4"/>
  <c r="A15" i="4"/>
  <c r="A30" i="4"/>
  <c r="A16" i="4"/>
  <c r="A31" i="4"/>
  <c r="A17" i="4"/>
  <c r="A32" i="4"/>
  <c r="A12" i="4"/>
  <c r="A27" i="4"/>
  <c r="B27" i="4" a="1"/>
  <c r="B27" i="4"/>
  <c r="A13" i="4"/>
  <c r="A28" i="4"/>
  <c r="A14" i="4"/>
  <c r="A29" i="4"/>
  <c r="A10" i="4"/>
  <c r="A25" i="4"/>
  <c r="H94" i="4"/>
  <c r="A95" i="4"/>
  <c r="A11" i="4"/>
  <c r="A26" i="4"/>
  <c r="A9" i="4"/>
  <c r="A8" i="23"/>
  <c r="A85" i="23"/>
  <c r="M105" i="4"/>
  <c r="C82" i="4"/>
  <c r="B10" i="24"/>
  <c r="I9" i="23"/>
  <c r="C10" i="24"/>
  <c r="J9" i="23"/>
  <c r="D10" i="24"/>
  <c r="K9" i="23"/>
  <c r="E10" i="24"/>
  <c r="L9" i="23"/>
  <c r="F10" i="24"/>
  <c r="M9" i="23"/>
  <c r="B11" i="24"/>
  <c r="I10" i="23"/>
  <c r="C11" i="24"/>
  <c r="J10" i="23"/>
  <c r="D11" i="24"/>
  <c r="K10" i="23"/>
  <c r="E11" i="24"/>
  <c r="L10" i="23"/>
  <c r="F11" i="24"/>
  <c r="B12" i="24"/>
  <c r="C12" i="24"/>
  <c r="J11" i="23"/>
  <c r="D12" i="24"/>
  <c r="K11" i="23"/>
  <c r="E12" i="24"/>
  <c r="L11" i="23"/>
  <c r="F12" i="24"/>
  <c r="M11" i="23"/>
  <c r="B13" i="24"/>
  <c r="I12" i="23"/>
  <c r="C13" i="24"/>
  <c r="J12" i="23"/>
  <c r="D13" i="24"/>
  <c r="K12" i="23"/>
  <c r="E13" i="24"/>
  <c r="L12" i="23"/>
  <c r="F13" i="24"/>
  <c r="M12" i="23"/>
  <c r="B14" i="24"/>
  <c r="C14" i="24"/>
  <c r="J13" i="23"/>
  <c r="D14" i="24"/>
  <c r="E14" i="24"/>
  <c r="F14" i="24"/>
  <c r="M13" i="23"/>
  <c r="B15" i="24"/>
  <c r="I14" i="23"/>
  <c r="C15" i="24"/>
  <c r="J14" i="23"/>
  <c r="D15" i="24"/>
  <c r="K14" i="23"/>
  <c r="E15" i="24"/>
  <c r="L14" i="23"/>
  <c r="F15" i="24"/>
  <c r="M14" i="23"/>
  <c r="B16" i="24"/>
  <c r="I15" i="23"/>
  <c r="C16" i="24"/>
  <c r="J15" i="23"/>
  <c r="D16" i="24"/>
  <c r="K15" i="23"/>
  <c r="E16" i="24"/>
  <c r="F16" i="24"/>
  <c r="M15" i="23"/>
  <c r="B17" i="24"/>
  <c r="C17" i="24"/>
  <c r="J16" i="23"/>
  <c r="D17" i="24"/>
  <c r="K16" i="23"/>
  <c r="E17" i="24"/>
  <c r="L16" i="23"/>
  <c r="F17" i="24"/>
  <c r="M16" i="23"/>
  <c r="B18" i="24"/>
  <c r="I17" i="23"/>
  <c r="C18" i="24"/>
  <c r="D18" i="24"/>
  <c r="K17" i="23"/>
  <c r="E18" i="24"/>
  <c r="L17" i="23"/>
  <c r="F18" i="24"/>
  <c r="M17" i="23"/>
  <c r="B19" i="24"/>
  <c r="I18" i="23"/>
  <c r="C19" i="24"/>
  <c r="J18" i="23"/>
  <c r="D19" i="24"/>
  <c r="K18" i="23"/>
  <c r="E19" i="24"/>
  <c r="L18" i="23"/>
  <c r="F19" i="24"/>
  <c r="B20" i="24"/>
  <c r="C20" i="24"/>
  <c r="J19" i="23"/>
  <c r="D20" i="24"/>
  <c r="K19" i="23"/>
  <c r="E20" i="24"/>
  <c r="L19" i="23"/>
  <c r="F20" i="24"/>
  <c r="C9" i="24"/>
  <c r="J8" i="23"/>
  <c r="D9" i="24"/>
  <c r="K8" i="23"/>
  <c r="E9" i="24"/>
  <c r="L8" i="23"/>
  <c r="F9" i="24"/>
  <c r="B9" i="24"/>
  <c r="C83" i="24"/>
  <c r="C82" i="24"/>
  <c r="C9" i="4"/>
  <c r="C8" i="23"/>
  <c r="D9" i="4"/>
  <c r="D8" i="23"/>
  <c r="E9" i="4"/>
  <c r="E8" i="23"/>
  <c r="F9" i="4"/>
  <c r="C10" i="4"/>
  <c r="C9" i="23"/>
  <c r="D10" i="4"/>
  <c r="E10" i="4"/>
  <c r="E9" i="23"/>
  <c r="F10" i="4"/>
  <c r="F9" i="23"/>
  <c r="C11" i="4"/>
  <c r="C10" i="23"/>
  <c r="D11" i="4"/>
  <c r="E11" i="4"/>
  <c r="F11" i="4"/>
  <c r="C12" i="4"/>
  <c r="C11" i="23"/>
  <c r="D12" i="4"/>
  <c r="D11" i="23"/>
  <c r="E12" i="4"/>
  <c r="E11" i="23"/>
  <c r="F12" i="4"/>
  <c r="F11" i="23"/>
  <c r="C13" i="4"/>
  <c r="C12" i="23"/>
  <c r="D13" i="4"/>
  <c r="D12" i="23"/>
  <c r="E13" i="4"/>
  <c r="E12" i="23"/>
  <c r="F13" i="4"/>
  <c r="F12" i="23"/>
  <c r="C14" i="4"/>
  <c r="C13" i="23"/>
  <c r="D14" i="4"/>
  <c r="E14" i="4"/>
  <c r="E13" i="23"/>
  <c r="F14" i="4"/>
  <c r="F13" i="23"/>
  <c r="C15" i="4"/>
  <c r="C14" i="23"/>
  <c r="D15" i="4"/>
  <c r="D14" i="23"/>
  <c r="E15" i="4"/>
  <c r="E14" i="23"/>
  <c r="F15" i="4"/>
  <c r="F14" i="23"/>
  <c r="C16" i="4"/>
  <c r="C15" i="23"/>
  <c r="D16" i="4"/>
  <c r="D15" i="23"/>
  <c r="E16" i="4"/>
  <c r="E15" i="23"/>
  <c r="F16" i="4"/>
  <c r="F15" i="23"/>
  <c r="C17" i="4"/>
  <c r="C16" i="23"/>
  <c r="D17" i="4"/>
  <c r="D16" i="23"/>
  <c r="E17" i="4"/>
  <c r="E16" i="23"/>
  <c r="F17" i="4"/>
  <c r="F16" i="23"/>
  <c r="C18" i="4"/>
  <c r="C17" i="23"/>
  <c r="D18" i="4"/>
  <c r="D17" i="23"/>
  <c r="E18" i="4"/>
  <c r="E17" i="23"/>
  <c r="F18" i="4"/>
  <c r="F17" i="23"/>
  <c r="C19" i="4"/>
  <c r="C18" i="23"/>
  <c r="D19" i="4"/>
  <c r="D18" i="23"/>
  <c r="E19" i="4"/>
  <c r="E18" i="23"/>
  <c r="F19" i="4"/>
  <c r="C20" i="4"/>
  <c r="C19" i="23"/>
  <c r="D20" i="4"/>
  <c r="D19" i="23"/>
  <c r="E20" i="4"/>
  <c r="E19" i="23"/>
  <c r="F20" i="4"/>
  <c r="B10" i="4"/>
  <c r="B9" i="23"/>
  <c r="B11" i="4"/>
  <c r="B10" i="23"/>
  <c r="B12" i="4"/>
  <c r="B11" i="23"/>
  <c r="B13" i="4"/>
  <c r="B12" i="23"/>
  <c r="B14" i="4"/>
  <c r="B15" i="4"/>
  <c r="B14" i="23"/>
  <c r="B16" i="4"/>
  <c r="B15" i="23"/>
  <c r="B17" i="4"/>
  <c r="B16" i="23"/>
  <c r="B18" i="4"/>
  <c r="B17" i="23"/>
  <c r="B19" i="4"/>
  <c r="B20" i="4"/>
  <c r="B19" i="23"/>
  <c r="B9" i="4"/>
  <c r="K22" i="3"/>
  <c r="L22" i="3"/>
  <c r="M22" i="3"/>
  <c r="B1" i="4"/>
  <c r="H25" i="23"/>
  <c r="H26" i="23"/>
  <c r="H27" i="23"/>
  <c r="H28" i="23"/>
  <c r="H29" i="23"/>
  <c r="H30" i="23"/>
  <c r="H31" i="23"/>
  <c r="H32" i="23"/>
  <c r="H33" i="23"/>
  <c r="H34" i="23"/>
  <c r="H35" i="23"/>
  <c r="H36" i="23"/>
  <c r="H37" i="23"/>
  <c r="H38" i="23"/>
  <c r="H39" i="23"/>
  <c r="H40" i="23"/>
  <c r="H41" i="23"/>
  <c r="H42" i="23"/>
  <c r="H43" i="23"/>
  <c r="H44" i="23"/>
  <c r="H45" i="23"/>
  <c r="H46" i="23"/>
  <c r="H47" i="23"/>
  <c r="H48" i="23"/>
  <c r="H49" i="23"/>
  <c r="H50" i="23"/>
  <c r="H51" i="23"/>
  <c r="H52" i="23"/>
  <c r="H53" i="23"/>
  <c r="H54" i="23"/>
  <c r="H55" i="23"/>
  <c r="H56" i="23"/>
  <c r="H57" i="23"/>
  <c r="H58" i="23"/>
  <c r="H59" i="23"/>
  <c r="H60" i="23"/>
  <c r="H61" i="23"/>
  <c r="H62" i="23"/>
  <c r="H63" i="23"/>
  <c r="H64" i="23"/>
  <c r="H65" i="23"/>
  <c r="H66" i="23"/>
  <c r="H67" i="23"/>
  <c r="H68" i="23"/>
  <c r="H69" i="23"/>
  <c r="H70" i="23"/>
  <c r="H71" i="23"/>
  <c r="H72" i="23"/>
  <c r="H73" i="23"/>
  <c r="H74" i="23"/>
  <c r="H75" i="23"/>
  <c r="H76" i="23"/>
  <c r="H77" i="23"/>
  <c r="H78" i="23"/>
  <c r="H79" i="23"/>
  <c r="H80" i="23"/>
  <c r="H81" i="23"/>
  <c r="H82" i="23"/>
  <c r="B2" i="4"/>
  <c r="M108" i="24"/>
  <c r="B2" i="24"/>
  <c r="B1" i="24"/>
  <c r="C2" i="23"/>
  <c r="C1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A52" i="23"/>
  <c r="A53" i="23"/>
  <c r="A54" i="23"/>
  <c r="A55" i="23"/>
  <c r="A56" i="23"/>
  <c r="A57" i="23"/>
  <c r="A58" i="23"/>
  <c r="A59" i="23"/>
  <c r="A60" i="23"/>
  <c r="A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B106" i="19"/>
  <c r="B62" i="19"/>
  <c r="B63" i="19"/>
  <c r="F62" i="19"/>
  <c r="C63" i="19"/>
  <c r="D63" i="19"/>
  <c r="E63" i="19"/>
  <c r="F63" i="19"/>
  <c r="B116" i="19"/>
  <c r="B124" i="19"/>
  <c r="B123" i="19"/>
  <c r="B119" i="19"/>
  <c r="B120" i="19"/>
  <c r="B122" i="19"/>
  <c r="B118" i="19"/>
  <c r="B117" i="19"/>
  <c r="B121" i="19"/>
  <c r="B30" i="4" a="1"/>
  <c r="B30" i="4"/>
  <c r="B35" i="4" a="1"/>
  <c r="B35" i="4"/>
  <c r="B35" i="24"/>
  <c r="A10" i="23"/>
  <c r="A87" i="23"/>
  <c r="A101" i="23"/>
  <c r="B34" i="4" a="1"/>
  <c r="B34" i="4"/>
  <c r="B31" i="4" a="1"/>
  <c r="B31" i="4"/>
  <c r="B26" i="4" a="1"/>
  <c r="B26" i="4"/>
  <c r="B41" i="4"/>
  <c r="B41" i="24"/>
  <c r="B25" i="4" a="1"/>
  <c r="B25" i="4"/>
  <c r="B25" i="24"/>
  <c r="B29" i="4" a="1"/>
  <c r="B29" i="4"/>
  <c r="B44" i="4"/>
  <c r="B44" i="24"/>
  <c r="E31" i="4" a="1"/>
  <c r="E31" i="4"/>
  <c r="B28" i="4" a="1"/>
  <c r="B28" i="4" s="1"/>
  <c r="B43" i="4" s="1"/>
  <c r="E29" i="4" a="1"/>
  <c r="E29" i="4"/>
  <c r="E28" i="4" a="1"/>
  <c r="E28" i="4" s="1"/>
  <c r="B32" i="4" a="1"/>
  <c r="B32" i="4" s="1"/>
  <c r="B32" i="24" s="1"/>
  <c r="E26" i="4" a="1"/>
  <c r="E26" i="4" s="1"/>
  <c r="A9" i="23"/>
  <c r="A86" i="23"/>
  <c r="D32" i="4" a="1"/>
  <c r="D32" i="4" s="1"/>
  <c r="D29" i="4" a="1"/>
  <c r="D29" i="4"/>
  <c r="D44" i="4" s="1"/>
  <c r="D44" i="24" s="1"/>
  <c r="D26" i="4" a="1"/>
  <c r="D26" i="4" s="1"/>
  <c r="D26" i="24" s="1"/>
  <c r="E32" i="4" a="1"/>
  <c r="E32" i="4" s="1"/>
  <c r="C32" i="4" a="1"/>
  <c r="C32" i="4"/>
  <c r="C47" i="4" s="1"/>
  <c r="C47" i="24" s="1"/>
  <c r="C29" i="4" a="1"/>
  <c r="C29" i="4" s="1"/>
  <c r="C44" i="4" s="1"/>
  <c r="C44" i="24" s="1"/>
  <c r="C26" i="4" a="1"/>
  <c r="C26" i="4" s="1"/>
  <c r="C26" i="24" s="1"/>
  <c r="A19" i="23"/>
  <c r="H18" i="23"/>
  <c r="H95" i="23"/>
  <c r="E34" i="4" a="1"/>
  <c r="E34" i="4" s="1"/>
  <c r="A17" i="23"/>
  <c r="A94" i="23" s="1"/>
  <c r="H16" i="23"/>
  <c r="H93" i="23"/>
  <c r="I93" i="23" s="1"/>
  <c r="D25" i="4" a="1"/>
  <c r="D25" i="4" s="1"/>
  <c r="D40" i="4" s="1"/>
  <c r="D40" i="24" s="1"/>
  <c r="D31" i="4" a="1"/>
  <c r="D31" i="4" s="1"/>
  <c r="D28" i="4" a="1"/>
  <c r="D28" i="4" s="1"/>
  <c r="D34" i="4" a="1"/>
  <c r="D34" i="4"/>
  <c r="D34" i="24" s="1"/>
  <c r="A16" i="23"/>
  <c r="A93" i="23"/>
  <c r="A107" i="23" s="1"/>
  <c r="C25" i="4" a="1"/>
  <c r="C25" i="4" s="1"/>
  <c r="C40" i="4" s="1"/>
  <c r="C40" i="24"/>
  <c r="C31" i="4" a="1"/>
  <c r="C31" i="4" s="1"/>
  <c r="C46" i="4" s="1"/>
  <c r="C28" i="4" a="1"/>
  <c r="C28" i="4" s="1"/>
  <c r="C43" i="4" s="1"/>
  <c r="C34" i="4" a="1"/>
  <c r="C34" i="4" s="1"/>
  <c r="A15" i="23"/>
  <c r="A92" i="23"/>
  <c r="H14" i="23"/>
  <c r="H91" i="23"/>
  <c r="H105" i="23"/>
  <c r="E25" i="4" a="1"/>
  <c r="E25" i="4"/>
  <c r="E25" i="24"/>
  <c r="A14" i="23"/>
  <c r="A91" i="23"/>
  <c r="D91" i="23"/>
  <c r="D105" i="23" s="1"/>
  <c r="H13" i="23"/>
  <c r="H90" i="23"/>
  <c r="J90" i="23" s="1"/>
  <c r="J104" i="23"/>
  <c r="E33" i="4" a="1"/>
  <c r="E33" i="4" s="1"/>
  <c r="E30" i="4" a="1"/>
  <c r="E30" i="4" s="1"/>
  <c r="E27" i="4" a="1"/>
  <c r="E27" i="4"/>
  <c r="E35" i="4" a="1"/>
  <c r="E35" i="4" s="1"/>
  <c r="E35" i="24" s="1"/>
  <c r="A18" i="23"/>
  <c r="A95" i="23" s="1"/>
  <c r="H17" i="23"/>
  <c r="H94" i="23" s="1"/>
  <c r="A13" i="23"/>
  <c r="A90" i="23"/>
  <c r="E90" i="23" s="1"/>
  <c r="E104" i="23" s="1"/>
  <c r="D33" i="4" a="1"/>
  <c r="D33" i="4"/>
  <c r="D30" i="4" a="1"/>
  <c r="D30" i="4"/>
  <c r="D27" i="4" a="1"/>
  <c r="D27" i="4" s="1"/>
  <c r="D42" i="4" s="1"/>
  <c r="D42" i="24" s="1"/>
  <c r="D35" i="4" a="1"/>
  <c r="D35" i="4"/>
  <c r="D35" i="24"/>
  <c r="A12" i="23"/>
  <c r="A89" i="23"/>
  <c r="C33" i="4" a="1"/>
  <c r="C33" i="4" s="1"/>
  <c r="C48" i="4" s="1"/>
  <c r="C48" i="24" s="1"/>
  <c r="C30" i="4" a="1"/>
  <c r="C30" i="4"/>
  <c r="C27" i="4" a="1"/>
  <c r="C27" i="4" s="1"/>
  <c r="C35" i="4" a="1"/>
  <c r="C35" i="4" s="1"/>
  <c r="C35" i="24" s="1"/>
  <c r="J107" i="24" s="1"/>
  <c r="A11" i="23"/>
  <c r="A88" i="23" s="1"/>
  <c r="B88" i="23"/>
  <c r="B102" i="23"/>
  <c r="H10" i="23"/>
  <c r="H87" i="23"/>
  <c r="B33" i="4" a="1"/>
  <c r="B33" i="4" s="1"/>
  <c r="H89" i="23"/>
  <c r="H86" i="23"/>
  <c r="H100" i="23" s="1"/>
  <c r="B87" i="23"/>
  <c r="B101" i="23"/>
  <c r="A28" i="24"/>
  <c r="H100" i="24"/>
  <c r="H41" i="4"/>
  <c r="H26" i="4"/>
  <c r="A41" i="4"/>
  <c r="A35" i="24"/>
  <c r="H107" i="24" s="1"/>
  <c r="A31" i="24"/>
  <c r="A46" i="24"/>
  <c r="A27" i="24"/>
  <c r="A25" i="24"/>
  <c r="A40" i="24" s="1"/>
  <c r="H97" i="24"/>
  <c r="A26" i="24"/>
  <c r="H26" i="24"/>
  <c r="H35" i="4"/>
  <c r="H104" i="4"/>
  <c r="A49" i="4"/>
  <c r="H34" i="4"/>
  <c r="H103" i="4"/>
  <c r="A104" i="4"/>
  <c r="H49" i="4"/>
  <c r="H48" i="4"/>
  <c r="A96" i="23"/>
  <c r="F96" i="23"/>
  <c r="F110" i="23" s="1"/>
  <c r="H33" i="4"/>
  <c r="A48" i="4"/>
  <c r="H99" i="4"/>
  <c r="A100" i="4"/>
  <c r="A45" i="4"/>
  <c r="H45" i="4"/>
  <c r="H30" i="4"/>
  <c r="H100" i="4"/>
  <c r="A101" i="4" s="1"/>
  <c r="A46" i="4"/>
  <c r="H31" i="4"/>
  <c r="H46" i="4"/>
  <c r="H101" i="4"/>
  <c r="A102" i="4"/>
  <c r="H47" i="4"/>
  <c r="A47" i="4"/>
  <c r="H32" i="4"/>
  <c r="H96" i="4"/>
  <c r="A97" i="4"/>
  <c r="A42" i="4"/>
  <c r="H42" i="4"/>
  <c r="H27" i="4"/>
  <c r="H97" i="4"/>
  <c r="A98" i="4" s="1"/>
  <c r="A43" i="4"/>
  <c r="H28" i="4"/>
  <c r="H43" i="4"/>
  <c r="H29" i="4"/>
  <c r="H98" i="4"/>
  <c r="A99" i="4" s="1"/>
  <c r="H44" i="4"/>
  <c r="A44" i="4"/>
  <c r="H95" i="4"/>
  <c r="A96" i="4"/>
  <c r="A39" i="4"/>
  <c r="H39" i="4" s="1"/>
  <c r="H40" i="4"/>
  <c r="H25" i="4"/>
  <c r="A40" i="4"/>
  <c r="H8" i="23"/>
  <c r="H85" i="23"/>
  <c r="L85" i="23" s="1"/>
  <c r="I25" i="24"/>
  <c r="I30" i="24"/>
  <c r="I28" i="24"/>
  <c r="M19" i="23"/>
  <c r="B39" i="24"/>
  <c r="D39" i="24"/>
  <c r="B27" i="24"/>
  <c r="C39" i="24"/>
  <c r="B43" i="24"/>
  <c r="B31" i="24"/>
  <c r="B42" i="4"/>
  <c r="B42" i="24"/>
  <c r="B100" i="24" s="1"/>
  <c r="B28" i="24"/>
  <c r="B34" i="24"/>
  <c r="B30" i="24"/>
  <c r="I102" i="24" s="1"/>
  <c r="B29" i="24"/>
  <c r="E39" i="24"/>
  <c r="C28" i="24"/>
  <c r="I33" i="24"/>
  <c r="C43" i="24"/>
  <c r="B49" i="4"/>
  <c r="B46" i="4"/>
  <c r="B46" i="24"/>
  <c r="B45" i="4"/>
  <c r="B45" i="24"/>
  <c r="I32" i="24"/>
  <c r="I26" i="24"/>
  <c r="M10" i="23"/>
  <c r="E21" i="24"/>
  <c r="I31" i="24"/>
  <c r="D21" i="24"/>
  <c r="L15" i="23"/>
  <c r="I27" i="24"/>
  <c r="L13" i="23"/>
  <c r="K13" i="23"/>
  <c r="I11" i="23"/>
  <c r="I34" i="24"/>
  <c r="I16" i="23"/>
  <c r="F8" i="23"/>
  <c r="H102" i="24"/>
  <c r="H30" i="24"/>
  <c r="A45" i="24"/>
  <c r="F18" i="23"/>
  <c r="H29" i="24"/>
  <c r="H101" i="24"/>
  <c r="H105" i="24"/>
  <c r="H48" i="24"/>
  <c r="H44" i="24"/>
  <c r="H33" i="24"/>
  <c r="B13" i="23"/>
  <c r="I28" i="4"/>
  <c r="I39" i="4"/>
  <c r="I31" i="4"/>
  <c r="I49" i="4"/>
  <c r="I8" i="23"/>
  <c r="I20" i="23" s="1"/>
  <c r="I33" i="4"/>
  <c r="H104" i="24"/>
  <c r="A47" i="24"/>
  <c r="H47" i="24"/>
  <c r="I27" i="4"/>
  <c r="I25" i="4"/>
  <c r="I48" i="4"/>
  <c r="E21" i="4"/>
  <c r="I41" i="4"/>
  <c r="D21" i="4"/>
  <c r="E10" i="23"/>
  <c r="E20" i="23" s="1"/>
  <c r="C21" i="4"/>
  <c r="T22" i="3"/>
  <c r="I34" i="4"/>
  <c r="I45" i="4"/>
  <c r="I43" i="4"/>
  <c r="I30" i="4"/>
  <c r="B8" i="23"/>
  <c r="B20" i="23"/>
  <c r="R22" i="3"/>
  <c r="B18" i="23"/>
  <c r="S22" i="3"/>
  <c r="I42" i="4"/>
  <c r="I40" i="4"/>
  <c r="I44" i="4"/>
  <c r="D9" i="23"/>
  <c r="U22" i="3"/>
  <c r="F21" i="4"/>
  <c r="D13" i="23"/>
  <c r="F10" i="23"/>
  <c r="I46" i="4"/>
  <c r="I47" i="4"/>
  <c r="I26" i="4"/>
  <c r="F19" i="23"/>
  <c r="D10" i="23"/>
  <c r="I32" i="4"/>
  <c r="F21" i="24"/>
  <c r="J31" i="24"/>
  <c r="I29" i="4"/>
  <c r="M18" i="23"/>
  <c r="I13" i="23"/>
  <c r="I29" i="24"/>
  <c r="I101" i="24" s="1"/>
  <c r="I35" i="4"/>
  <c r="I19" i="23"/>
  <c r="B21" i="4"/>
  <c r="J17" i="23"/>
  <c r="J20" i="23" s="1"/>
  <c r="M8" i="23"/>
  <c r="M20" i="23"/>
  <c r="H49" i="24"/>
  <c r="A49" i="24"/>
  <c r="H106" i="24"/>
  <c r="O22" i="3"/>
  <c r="N22" i="3"/>
  <c r="C21" i="24"/>
  <c r="B26" i="24"/>
  <c r="C46" i="24"/>
  <c r="C104" i="24" s="1"/>
  <c r="B47" i="4"/>
  <c r="B47" i="24" s="1"/>
  <c r="C32" i="24"/>
  <c r="J104" i="24" s="1"/>
  <c r="F90" i="23"/>
  <c r="F104" i="23"/>
  <c r="H28" i="24"/>
  <c r="H43" i="24"/>
  <c r="C41" i="4"/>
  <c r="C41" i="24"/>
  <c r="C99" i="24" s="1"/>
  <c r="C29" i="24"/>
  <c r="C33" i="24"/>
  <c r="J105" i="24" s="1"/>
  <c r="D49" i="4"/>
  <c r="D49" i="24" s="1"/>
  <c r="C25" i="24"/>
  <c r="D25" i="24"/>
  <c r="D41" i="4"/>
  <c r="D41" i="24"/>
  <c r="D29" i="24"/>
  <c r="D27" i="24"/>
  <c r="E40" i="4"/>
  <c r="E40" i="24" s="1"/>
  <c r="J86" i="23"/>
  <c r="J100" i="23"/>
  <c r="B40" i="4"/>
  <c r="A43" i="24"/>
  <c r="B96" i="23"/>
  <c r="B110" i="23" s="1"/>
  <c r="H98" i="24"/>
  <c r="A42" i="24"/>
  <c r="H46" i="24"/>
  <c r="H99" i="24"/>
  <c r="H41" i="24"/>
  <c r="H40" i="24"/>
  <c r="H25" i="24"/>
  <c r="A41" i="24"/>
  <c r="H103" i="24"/>
  <c r="H31" i="24"/>
  <c r="H35" i="24"/>
  <c r="I39" i="24"/>
  <c r="I43" i="24"/>
  <c r="I47" i="24"/>
  <c r="I40" i="24"/>
  <c r="I42" i="24"/>
  <c r="I45" i="24"/>
  <c r="I44" i="24"/>
  <c r="K26" i="24"/>
  <c r="I41" i="24"/>
  <c r="I48" i="24"/>
  <c r="I49" i="24"/>
  <c r="I46" i="24"/>
  <c r="B21" i="24"/>
  <c r="K39" i="4"/>
  <c r="K45" i="4"/>
  <c r="J26" i="24"/>
  <c r="L39" i="4"/>
  <c r="K49" i="4"/>
  <c r="J49" i="4"/>
  <c r="K28" i="4"/>
  <c r="J46" i="4"/>
  <c r="K29" i="4"/>
  <c r="L40" i="4"/>
  <c r="J43" i="24"/>
  <c r="J33" i="24"/>
  <c r="J45" i="4"/>
  <c r="K42" i="4"/>
  <c r="K48" i="24"/>
  <c r="J47" i="24"/>
  <c r="J41" i="24"/>
  <c r="J42" i="4"/>
  <c r="K34" i="4"/>
  <c r="I35" i="24"/>
  <c r="J30" i="4"/>
  <c r="J29" i="4"/>
  <c r="K40" i="4"/>
  <c r="L25" i="4"/>
  <c r="J41" i="4"/>
  <c r="K44" i="4"/>
  <c r="J34" i="4"/>
  <c r="K31" i="4"/>
  <c r="J26" i="4"/>
  <c r="J31" i="4"/>
  <c r="J39" i="24"/>
  <c r="J48" i="24"/>
  <c r="J25" i="24"/>
  <c r="K30" i="24"/>
  <c r="K27" i="24"/>
  <c r="J32" i="24"/>
  <c r="J28" i="24"/>
  <c r="J100" i="24" s="1"/>
  <c r="J29" i="24"/>
  <c r="L25" i="24"/>
  <c r="J46" i="24"/>
  <c r="J49" i="24"/>
  <c r="J27" i="24"/>
  <c r="K39" i="24"/>
  <c r="D97" i="24" s="1"/>
  <c r="J44" i="24"/>
  <c r="J30" i="24"/>
  <c r="J45" i="24"/>
  <c r="J40" i="24"/>
  <c r="J42" i="24"/>
  <c r="K33" i="24"/>
  <c r="K28" i="24"/>
  <c r="K32" i="24"/>
  <c r="K47" i="24"/>
  <c r="K41" i="24"/>
  <c r="J34" i="24"/>
  <c r="K31" i="24"/>
  <c r="C80" i="24"/>
  <c r="I106" i="24" s="1"/>
  <c r="J35" i="24"/>
  <c r="C98" i="24"/>
  <c r="K98" i="24"/>
  <c r="B103" i="24"/>
  <c r="L97" i="24"/>
  <c r="B97" i="24"/>
  <c r="K99" i="24"/>
  <c r="I103" i="24"/>
  <c r="I100" i="24"/>
  <c r="J97" i="24"/>
  <c r="I107" i="24"/>
  <c r="I97" i="24"/>
  <c r="D99" i="24"/>
  <c r="I99" i="24"/>
  <c r="C97" i="24"/>
  <c r="B101" i="24"/>
  <c r="J101" i="24"/>
  <c r="B105" i="24"/>
  <c r="C106" i="24"/>
  <c r="C105" i="24"/>
  <c r="B104" i="24"/>
  <c r="J98" i="24"/>
  <c r="B102" i="24"/>
  <c r="I98" i="24"/>
  <c r="I104" i="24"/>
  <c r="B99" i="24"/>
  <c r="O98" i="24" s="1"/>
  <c r="C102" i="24"/>
  <c r="C101" i="24"/>
  <c r="F97" i="24"/>
  <c r="F108" i="24" s="1"/>
  <c r="Q22" i="3"/>
  <c r="E93" i="23"/>
  <c r="E107" i="23" s="1"/>
  <c r="D93" i="23"/>
  <c r="D107" i="23" s="1"/>
  <c r="F93" i="23"/>
  <c r="F107" i="23"/>
  <c r="C93" i="23"/>
  <c r="C107" i="23"/>
  <c r="B93" i="23"/>
  <c r="B107" i="23" s="1"/>
  <c r="A100" i="23"/>
  <c r="B86" i="23"/>
  <c r="B100" i="23" s="1"/>
  <c r="D86" i="23"/>
  <c r="D100" i="23" s="1"/>
  <c r="F86" i="23"/>
  <c r="F100" i="23" s="1"/>
  <c r="C86" i="23"/>
  <c r="C100" i="23" s="1"/>
  <c r="E86" i="23"/>
  <c r="E100" i="23"/>
  <c r="H99" i="23"/>
  <c r="M85" i="23"/>
  <c r="J85" i="23"/>
  <c r="H104" i="23"/>
  <c r="K90" i="23"/>
  <c r="K104" i="23" s="1"/>
  <c r="I90" i="23"/>
  <c r="I104" i="23" s="1"/>
  <c r="M90" i="23"/>
  <c r="M104" i="23"/>
  <c r="L90" i="23"/>
  <c r="L104" i="23"/>
  <c r="K93" i="23"/>
  <c r="K107" i="23" s="1"/>
  <c r="H107" i="23"/>
  <c r="L93" i="23"/>
  <c r="L107" i="23"/>
  <c r="J93" i="23"/>
  <c r="J107" i="23" s="1"/>
  <c r="M93" i="23"/>
  <c r="M107" i="23" s="1"/>
  <c r="E91" i="23"/>
  <c r="E105" i="23" s="1"/>
  <c r="A105" i="23"/>
  <c r="C91" i="23"/>
  <c r="C105" i="23" s="1"/>
  <c r="B91" i="23"/>
  <c r="B105" i="23" s="1"/>
  <c r="F91" i="23"/>
  <c r="F105" i="23"/>
  <c r="E88" i="23"/>
  <c r="E102" i="23"/>
  <c r="D88" i="23"/>
  <c r="D102" i="23" s="1"/>
  <c r="A102" i="23"/>
  <c r="C88" i="23"/>
  <c r="C102" i="23"/>
  <c r="I91" i="23"/>
  <c r="I105" i="23" s="1"/>
  <c r="M91" i="23"/>
  <c r="M105" i="23" s="1"/>
  <c r="J91" i="23"/>
  <c r="J105" i="23" s="1"/>
  <c r="K91" i="23"/>
  <c r="K105" i="23"/>
  <c r="C90" i="23"/>
  <c r="C104" i="23"/>
  <c r="B90" i="23"/>
  <c r="B104" i="23" s="1"/>
  <c r="F87" i="23"/>
  <c r="F101" i="23" s="1"/>
  <c r="E87" i="23"/>
  <c r="E101" i="23" s="1"/>
  <c r="J99" i="23"/>
  <c r="M99" i="23"/>
  <c r="E89" i="23"/>
  <c r="E103" i="23"/>
  <c r="D89" i="23"/>
  <c r="D103" i="23" s="1"/>
  <c r="C89" i="23"/>
  <c r="C103" i="23" s="1"/>
  <c r="F89" i="23"/>
  <c r="F103" i="23" s="1"/>
  <c r="A103" i="23"/>
  <c r="B89" i="23"/>
  <c r="B103" i="23" s="1"/>
  <c r="E92" i="23"/>
  <c r="E106" i="23" s="1"/>
  <c r="D92" i="23"/>
  <c r="D106" i="23"/>
  <c r="C92" i="23"/>
  <c r="C106" i="23"/>
  <c r="F92" i="23"/>
  <c r="F106" i="23" s="1"/>
  <c r="B92" i="23"/>
  <c r="B106" i="23" s="1"/>
  <c r="A106" i="23"/>
  <c r="I96" i="23"/>
  <c r="I110" i="23" s="1"/>
  <c r="L96" i="23"/>
  <c r="L110" i="23" s="1"/>
  <c r="J96" i="23"/>
  <c r="J110" i="23" s="1"/>
  <c r="M96" i="23"/>
  <c r="M110" i="23"/>
  <c r="H110" i="23"/>
  <c r="K96" i="23"/>
  <c r="K110" i="23" s="1"/>
  <c r="B85" i="23"/>
  <c r="A99" i="23"/>
  <c r="C85" i="23"/>
  <c r="D85" i="23"/>
  <c r="E85" i="23"/>
  <c r="F85" i="23"/>
  <c r="M94" i="23"/>
  <c r="M108" i="23" s="1"/>
  <c r="K94" i="23"/>
  <c r="K108" i="23" s="1"/>
  <c r="L94" i="23"/>
  <c r="L108" i="23"/>
  <c r="J94" i="23"/>
  <c r="J108" i="23"/>
  <c r="I94" i="23"/>
  <c r="I108" i="23" s="1"/>
  <c r="H108" i="23"/>
  <c r="K88" i="23"/>
  <c r="K102" i="23"/>
  <c r="H102" i="23"/>
  <c r="I88" i="23"/>
  <c r="I102" i="23"/>
  <c r="L88" i="23"/>
  <c r="L102" i="23"/>
  <c r="J88" i="23"/>
  <c r="J102" i="23" s="1"/>
  <c r="M88" i="23"/>
  <c r="M102" i="23" s="1"/>
  <c r="L87" i="23"/>
  <c r="L101" i="23" s="1"/>
  <c r="I87" i="23"/>
  <c r="I101" i="23"/>
  <c r="J87" i="23"/>
  <c r="K87" i="23"/>
  <c r="K101" i="23" s="1"/>
  <c r="M87" i="23"/>
  <c r="M101" i="23"/>
  <c r="H101" i="23"/>
  <c r="E95" i="23"/>
  <c r="E109" i="23" s="1"/>
  <c r="F95" i="23"/>
  <c r="F109" i="23"/>
  <c r="D95" i="23"/>
  <c r="D109" i="23"/>
  <c r="A109" i="23"/>
  <c r="B95" i="23"/>
  <c r="B109" i="23"/>
  <c r="C95" i="23"/>
  <c r="C109" i="23"/>
  <c r="L92" i="23"/>
  <c r="L106" i="23" s="1"/>
  <c r="J92" i="23"/>
  <c r="J106" i="23" s="1"/>
  <c r="K92" i="23"/>
  <c r="K106" i="23" s="1"/>
  <c r="H106" i="23"/>
  <c r="I92" i="23"/>
  <c r="I106" i="23" s="1"/>
  <c r="M92" i="23"/>
  <c r="M106" i="23" s="1"/>
  <c r="L99" i="23"/>
  <c r="A108" i="23"/>
  <c r="E94" i="23"/>
  <c r="E108" i="23"/>
  <c r="D94" i="23"/>
  <c r="D108" i="23" s="1"/>
  <c r="F94" i="23"/>
  <c r="F108" i="23" s="1"/>
  <c r="B94" i="23"/>
  <c r="B108" i="23" s="1"/>
  <c r="C94" i="23"/>
  <c r="C108" i="23"/>
  <c r="M95" i="23"/>
  <c r="M109" i="23"/>
  <c r="K95" i="23"/>
  <c r="K109" i="23" s="1"/>
  <c r="J95" i="23"/>
  <c r="J109" i="23" s="1"/>
  <c r="H109" i="23"/>
  <c r="L95" i="23"/>
  <c r="L109" i="23" s="1"/>
  <c r="I95" i="23"/>
  <c r="I109" i="23" s="1"/>
  <c r="D90" i="23"/>
  <c r="D104" i="23"/>
  <c r="E96" i="23"/>
  <c r="E110" i="23"/>
  <c r="I86" i="23"/>
  <c r="I100" i="23"/>
  <c r="D96" i="23"/>
  <c r="D110" i="23" s="1"/>
  <c r="K86" i="23"/>
  <c r="K100" i="23" s="1"/>
  <c r="D87" i="23"/>
  <c r="D101" i="23"/>
  <c r="A110" i="23"/>
  <c r="L86" i="23"/>
  <c r="L100" i="23" s="1"/>
  <c r="M86" i="23"/>
  <c r="M100" i="23" s="1"/>
  <c r="C96" i="23"/>
  <c r="C110" i="23" s="1"/>
  <c r="L89" i="23"/>
  <c r="L103" i="23" s="1"/>
  <c r="F88" i="23"/>
  <c r="F102" i="23"/>
  <c r="K85" i="23"/>
  <c r="A104" i="23"/>
  <c r="C87" i="23"/>
  <c r="C101" i="23"/>
  <c r="L91" i="23"/>
  <c r="L105" i="23" s="1"/>
  <c r="I85" i="23"/>
  <c r="F99" i="23"/>
  <c r="E98" i="23"/>
  <c r="E99" i="23"/>
  <c r="D98" i="23"/>
  <c r="D99" i="23"/>
  <c r="K99" i="23"/>
  <c r="C98" i="23"/>
  <c r="C99" i="23"/>
  <c r="B99" i="23"/>
  <c r="B98" i="23"/>
  <c r="J101" i="23"/>
  <c r="L98" i="23" l="1"/>
  <c r="F98" i="23"/>
  <c r="I99" i="23"/>
  <c r="J102" i="24"/>
  <c r="C80" i="4"/>
  <c r="K35" i="4"/>
  <c r="K100" i="4"/>
  <c r="B33" i="24"/>
  <c r="I105" i="24" s="1"/>
  <c r="B48" i="4"/>
  <c r="J100" i="4"/>
  <c r="E95" i="4"/>
  <c r="B40" i="24"/>
  <c r="B95" i="4"/>
  <c r="F20" i="23"/>
  <c r="B49" i="24"/>
  <c r="B107" i="24" s="1"/>
  <c r="H27" i="24"/>
  <c r="H42" i="24"/>
  <c r="C42" i="4"/>
  <c r="C27" i="24"/>
  <c r="J99" i="24" s="1"/>
  <c r="D106" i="24"/>
  <c r="B98" i="24"/>
  <c r="I98" i="4"/>
  <c r="C30" i="24"/>
  <c r="C45" i="4"/>
  <c r="C45" i="24" s="1"/>
  <c r="C103" i="24" s="1"/>
  <c r="J39" i="4"/>
  <c r="J32" i="4"/>
  <c r="J35" i="4"/>
  <c r="J43" i="4"/>
  <c r="J47" i="4"/>
  <c r="C102" i="4" s="1"/>
  <c r="J40" i="4"/>
  <c r="J25" i="4"/>
  <c r="J44" i="4"/>
  <c r="C99" i="4" s="1"/>
  <c r="J33" i="4"/>
  <c r="J48" i="4"/>
  <c r="C103" i="4" s="1"/>
  <c r="K27" i="4"/>
  <c r="K32" i="4"/>
  <c r="K41" i="4"/>
  <c r="D96" i="4" s="1"/>
  <c r="K48" i="4"/>
  <c r="K43" i="4"/>
  <c r="J27" i="4"/>
  <c r="K30" i="4"/>
  <c r="K47" i="4"/>
  <c r="J28" i="4"/>
  <c r="L35" i="4"/>
  <c r="L104" i="4" s="1"/>
  <c r="K34" i="24"/>
  <c r="K106" i="24" s="1"/>
  <c r="K35" i="24"/>
  <c r="K107" i="24" s="1"/>
  <c r="O107" i="24" s="1"/>
  <c r="K44" i="24"/>
  <c r="D102" i="24" s="1"/>
  <c r="K25" i="24"/>
  <c r="K97" i="24" s="1"/>
  <c r="K43" i="24"/>
  <c r="K29" i="24"/>
  <c r="K101" i="24" s="1"/>
  <c r="O101" i="24" s="1"/>
  <c r="K49" i="24"/>
  <c r="D107" i="24" s="1"/>
  <c r="K42" i="24"/>
  <c r="D100" i="24" s="1"/>
  <c r="K40" i="24"/>
  <c r="D98" i="24" s="1"/>
  <c r="L40" i="24"/>
  <c r="E98" i="24" s="1"/>
  <c r="K45" i="24"/>
  <c r="K46" i="24"/>
  <c r="D104" i="24" s="1"/>
  <c r="L35" i="24"/>
  <c r="L107" i="24" s="1"/>
  <c r="L108" i="24" s="1"/>
  <c r="M89" i="23"/>
  <c r="K89" i="23"/>
  <c r="K103" i="23" s="1"/>
  <c r="H103" i="23"/>
  <c r="J89" i="23"/>
  <c r="I89" i="23"/>
  <c r="I103" i="23" s="1"/>
  <c r="D33" i="24"/>
  <c r="K105" i="24" s="1"/>
  <c r="D48" i="4"/>
  <c r="D48" i="24" s="1"/>
  <c r="C34" i="24"/>
  <c r="J106" i="24" s="1"/>
  <c r="C49" i="4"/>
  <c r="C49" i="24" s="1"/>
  <c r="C107" i="24" s="1"/>
  <c r="C31" i="24"/>
  <c r="J103" i="24" s="1"/>
  <c r="D31" i="24"/>
  <c r="K103" i="24" s="1"/>
  <c r="D46" i="4"/>
  <c r="D46" i="24" s="1"/>
  <c r="D20" i="23"/>
  <c r="K25" i="4"/>
  <c r="K94" i="4" s="1"/>
  <c r="K46" i="4"/>
  <c r="K33" i="4"/>
  <c r="K102" i="4" s="1"/>
  <c r="K26" i="4"/>
  <c r="L39" i="24"/>
  <c r="E97" i="24" s="1"/>
  <c r="E108" i="24" s="1"/>
  <c r="D45" i="4"/>
  <c r="D30" i="24"/>
  <c r="K102" i="24" s="1"/>
  <c r="D43" i="4"/>
  <c r="D43" i="24" s="1"/>
  <c r="D28" i="24"/>
  <c r="K100" i="24" s="1"/>
  <c r="I107" i="23"/>
  <c r="D47" i="4"/>
  <c r="D47" i="24" s="1"/>
  <c r="D105" i="24" s="1"/>
  <c r="D32" i="24"/>
  <c r="K104" i="24" s="1"/>
  <c r="C20" i="23"/>
  <c r="L20" i="23"/>
  <c r="K20" i="23"/>
  <c r="O99" i="24" l="1"/>
  <c r="J108" i="24"/>
  <c r="K108" i="24"/>
  <c r="O98" i="4"/>
  <c r="F94" i="4"/>
  <c r="F105" i="4" s="1"/>
  <c r="I94" i="4"/>
  <c r="I96" i="4"/>
  <c r="B97" i="4"/>
  <c r="D95" i="4"/>
  <c r="B102" i="4"/>
  <c r="I100" i="4"/>
  <c r="I99" i="4"/>
  <c r="I104" i="4"/>
  <c r="C101" i="4"/>
  <c r="J95" i="4"/>
  <c r="B96" i="4"/>
  <c r="J103" i="4"/>
  <c r="I103" i="4"/>
  <c r="B98" i="4"/>
  <c r="B100" i="4"/>
  <c r="B94" i="4"/>
  <c r="D104" i="4"/>
  <c r="I97" i="4"/>
  <c r="D99" i="4"/>
  <c r="D94" i="4"/>
  <c r="B101" i="4"/>
  <c r="D97" i="4"/>
  <c r="K103" i="4"/>
  <c r="B99" i="4"/>
  <c r="C96" i="4"/>
  <c r="O106" i="24"/>
  <c r="K99" i="4"/>
  <c r="K101" i="4"/>
  <c r="C86" i="4"/>
  <c r="J94" i="4"/>
  <c r="J101" i="4"/>
  <c r="C86" i="24"/>
  <c r="I101" i="4"/>
  <c r="I108" i="24"/>
  <c r="I98" i="23"/>
  <c r="K95" i="4"/>
  <c r="K105" i="4" s="1"/>
  <c r="D101" i="24"/>
  <c r="I102" i="4"/>
  <c r="J96" i="4"/>
  <c r="K96" i="4"/>
  <c r="C95" i="4"/>
  <c r="C94" i="4"/>
  <c r="K97" i="4"/>
  <c r="O97" i="24"/>
  <c r="B104" i="4"/>
  <c r="C104" i="4"/>
  <c r="J99" i="4"/>
  <c r="E94" i="4"/>
  <c r="E105" i="4" s="1"/>
  <c r="M103" i="23"/>
  <c r="M98" i="23"/>
  <c r="D98" i="4"/>
  <c r="A53" i="24"/>
  <c r="A53" i="4"/>
  <c r="K98" i="4"/>
  <c r="C100" i="4"/>
  <c r="O104" i="24"/>
  <c r="D101" i="4"/>
  <c r="O103" i="24"/>
  <c r="J97" i="4"/>
  <c r="D103" i="4"/>
  <c r="J102" i="4"/>
  <c r="C98" i="4"/>
  <c r="C42" i="24"/>
  <c r="C100" i="24" s="1"/>
  <c r="C108" i="24" s="1"/>
  <c r="C97" i="4"/>
  <c r="J98" i="4"/>
  <c r="B103" i="4"/>
  <c r="B48" i="24"/>
  <c r="B106" i="24" s="1"/>
  <c r="B108" i="24" s="1"/>
  <c r="I95" i="4"/>
  <c r="O95" i="4" s="1"/>
  <c r="L94" i="4"/>
  <c r="L105" i="4" s="1"/>
  <c r="K104" i="4"/>
  <c r="K98" i="23"/>
  <c r="D45" i="24"/>
  <c r="D103" i="24" s="1"/>
  <c r="O102" i="24" s="1"/>
  <c r="D100" i="4"/>
  <c r="J103" i="23"/>
  <c r="J98" i="23"/>
  <c r="D102" i="4"/>
  <c r="C85" i="24"/>
  <c r="J104" i="4"/>
  <c r="C87" i="4"/>
  <c r="D108" i="24" l="1"/>
  <c r="A54" i="24"/>
  <c r="B53" i="24"/>
  <c r="B34" i="19"/>
  <c r="B53" i="4"/>
  <c r="D53" i="4" s="1"/>
  <c r="B4" i="19"/>
  <c r="A54" i="4"/>
  <c r="O102" i="4"/>
  <c r="O101" i="4"/>
  <c r="O105" i="24"/>
  <c r="F86" i="24"/>
  <c r="E86" i="24"/>
  <c r="R31" i="3" s="1"/>
  <c r="O103" i="4"/>
  <c r="O104" i="4"/>
  <c r="O99" i="4"/>
  <c r="O96" i="4"/>
  <c r="O100" i="24"/>
  <c r="C105" i="4"/>
  <c r="O97" i="4"/>
  <c r="J105" i="4"/>
  <c r="B105" i="4"/>
  <c r="O100" i="4"/>
  <c r="O94" i="4"/>
  <c r="I105" i="4"/>
  <c r="F85" i="24"/>
  <c r="C88" i="24"/>
  <c r="E85" i="24"/>
  <c r="R30" i="3" s="1"/>
  <c r="F87" i="4"/>
  <c r="E87" i="4"/>
  <c r="L32" i="3" s="1"/>
  <c r="O108" i="24"/>
  <c r="F86" i="4"/>
  <c r="E86" i="4"/>
  <c r="L31" i="3" s="1"/>
  <c r="D105" i="4"/>
  <c r="C34" i="19" l="1"/>
  <c r="C53" i="24"/>
  <c r="A55" i="24"/>
  <c r="B35" i="19"/>
  <c r="B54" i="24"/>
  <c r="C4" i="19"/>
  <c r="C53" i="4"/>
  <c r="E53" i="24"/>
  <c r="B5" i="19"/>
  <c r="B54" i="4"/>
  <c r="A55" i="4"/>
  <c r="D53" i="24"/>
  <c r="F4" i="19"/>
  <c r="O105" i="4"/>
  <c r="E53" i="4"/>
  <c r="E34" i="19"/>
  <c r="F34" i="19"/>
  <c r="D34" i="19"/>
  <c r="C35" i="19" l="1"/>
  <c r="C54" i="24"/>
  <c r="C54" i="4"/>
  <c r="C5" i="19"/>
  <c r="E5" i="19" s="1"/>
  <c r="D54" i="4"/>
  <c r="D54" i="24"/>
  <c r="E4" i="19"/>
  <c r="E54" i="24"/>
  <c r="A56" i="4"/>
  <c r="E55" i="4"/>
  <c r="B6" i="19"/>
  <c r="B55" i="4"/>
  <c r="D4" i="19"/>
  <c r="E54" i="4"/>
  <c r="E35" i="19"/>
  <c r="D35" i="19"/>
  <c r="F35" i="19"/>
  <c r="B55" i="24"/>
  <c r="E55" i="24" s="1"/>
  <c r="D55" i="24"/>
  <c r="B36" i="19"/>
  <c r="A56" i="24"/>
  <c r="D5" i="19" l="1"/>
  <c r="E36" i="19"/>
  <c r="D36" i="19"/>
  <c r="F6" i="19"/>
  <c r="D6" i="19"/>
  <c r="B56" i="4"/>
  <c r="B7" i="19"/>
  <c r="A57" i="4"/>
  <c r="E56" i="4"/>
  <c r="F5" i="19"/>
  <c r="C36" i="19"/>
  <c r="F36" i="19" s="1"/>
  <c r="C55" i="24"/>
  <c r="C55" i="4"/>
  <c r="C6" i="19"/>
  <c r="E6" i="19" s="1"/>
  <c r="B56" i="24"/>
  <c r="B37" i="19"/>
  <c r="D56" i="24"/>
  <c r="A57" i="24"/>
  <c r="D55" i="4"/>
  <c r="C56" i="4" l="1"/>
  <c r="C7" i="19"/>
  <c r="C37" i="19"/>
  <c r="C56" i="24"/>
  <c r="D56" i="4"/>
  <c r="A58" i="24"/>
  <c r="B57" i="24"/>
  <c r="B38" i="19"/>
  <c r="D37" i="19"/>
  <c r="F37" i="19"/>
  <c r="E37" i="19"/>
  <c r="A58" i="4"/>
  <c r="B57" i="4"/>
  <c r="D57" i="4" s="1"/>
  <c r="B8" i="19"/>
  <c r="E56" i="24"/>
  <c r="E7" i="19"/>
  <c r="A59" i="4" l="1"/>
  <c r="B9" i="19"/>
  <c r="B58" i="4"/>
  <c r="E58" i="4" s="1"/>
  <c r="F7" i="19"/>
  <c r="E57" i="4"/>
  <c r="C38" i="19"/>
  <c r="D38" i="19" s="1"/>
  <c r="C57" i="24"/>
  <c r="D7" i="19"/>
  <c r="E57" i="24"/>
  <c r="C8" i="19"/>
  <c r="E8" i="19" s="1"/>
  <c r="C57" i="4"/>
  <c r="D57" i="24"/>
  <c r="B39" i="19"/>
  <c r="A59" i="24"/>
  <c r="B58" i="24"/>
  <c r="D8" i="19" l="1"/>
  <c r="C39" i="19"/>
  <c r="C58" i="24"/>
  <c r="D58" i="24"/>
  <c r="F8" i="19"/>
  <c r="F38" i="19"/>
  <c r="D58" i="4"/>
  <c r="E58" i="24"/>
  <c r="B10" i="19"/>
  <c r="B59" i="4"/>
  <c r="E59" i="4" s="1"/>
  <c r="D59" i="4"/>
  <c r="A60" i="4"/>
  <c r="B40" i="19"/>
  <c r="A60" i="24"/>
  <c r="B59" i="24"/>
  <c r="E59" i="24" s="1"/>
  <c r="E38" i="19"/>
  <c r="D39" i="19"/>
  <c r="F39" i="19"/>
  <c r="E39" i="19"/>
  <c r="C58" i="4"/>
  <c r="C9" i="19"/>
  <c r="E9" i="19" s="1"/>
  <c r="B41" i="19" l="1"/>
  <c r="A61" i="24"/>
  <c r="B60" i="24"/>
  <c r="E40" i="19"/>
  <c r="F40" i="19"/>
  <c r="E10" i="19"/>
  <c r="F10" i="19"/>
  <c r="D9" i="19"/>
  <c r="B60" i="4"/>
  <c r="A61" i="4"/>
  <c r="E60" i="4"/>
  <c r="B11" i="19"/>
  <c r="F9" i="19"/>
  <c r="C59" i="24"/>
  <c r="C40" i="19"/>
  <c r="D40" i="19" s="1"/>
  <c r="D59" i="24"/>
  <c r="C10" i="19"/>
  <c r="D10" i="19" s="1"/>
  <c r="C59" i="4"/>
  <c r="B61" i="4" l="1"/>
  <c r="B12" i="19"/>
  <c r="A62" i="4"/>
  <c r="C41" i="19"/>
  <c r="F41" i="19" s="1"/>
  <c r="C60" i="24"/>
  <c r="C11" i="19"/>
  <c r="C60" i="4"/>
  <c r="D60" i="24"/>
  <c r="E11" i="19"/>
  <c r="F11" i="19"/>
  <c r="D11" i="19"/>
  <c r="E60" i="24"/>
  <c r="D61" i="24"/>
  <c r="E61" i="24"/>
  <c r="B61" i="24"/>
  <c r="B42" i="19"/>
  <c r="A62" i="24"/>
  <c r="D60" i="4"/>
  <c r="D41" i="19"/>
  <c r="C12" i="19" l="1"/>
  <c r="C61" i="4"/>
  <c r="B62" i="24"/>
  <c r="E62" i="24" s="1"/>
  <c r="B43" i="19"/>
  <c r="A63" i="24"/>
  <c r="D61" i="4"/>
  <c r="E61" i="4"/>
  <c r="E41" i="19"/>
  <c r="D42" i="19"/>
  <c r="B62" i="4"/>
  <c r="B13" i="19"/>
  <c r="A63" i="4"/>
  <c r="C61" i="24"/>
  <c r="C42" i="19"/>
  <c r="E42" i="19" s="1"/>
  <c r="F12" i="19"/>
  <c r="E12" i="19"/>
  <c r="D12" i="19"/>
  <c r="B63" i="4" l="1"/>
  <c r="D63" i="4" s="1"/>
  <c r="A64" i="4"/>
  <c r="B14" i="19"/>
  <c r="E13" i="19"/>
  <c r="F13" i="19"/>
  <c r="C62" i="4"/>
  <c r="C84" i="4" s="1"/>
  <c r="N34" i="3" s="1"/>
  <c r="C13" i="19"/>
  <c r="D13" i="19" s="1"/>
  <c r="F42" i="19"/>
  <c r="C62" i="24"/>
  <c r="C43" i="19"/>
  <c r="D43" i="19" s="1"/>
  <c r="E62" i="4"/>
  <c r="D62" i="4"/>
  <c r="D62" i="24"/>
  <c r="A64" i="24"/>
  <c r="B63" i="24"/>
  <c r="E63" i="24" s="1"/>
  <c r="B44" i="19"/>
  <c r="B64" i="4" l="1"/>
  <c r="D64" i="4" s="1"/>
  <c r="A65" i="4"/>
  <c r="B15" i="19"/>
  <c r="E14" i="19"/>
  <c r="F14" i="19"/>
  <c r="D63" i="24"/>
  <c r="B64" i="24"/>
  <c r="A65" i="24"/>
  <c r="B45" i="19"/>
  <c r="F43" i="19"/>
  <c r="E43" i="19"/>
  <c r="E63" i="4"/>
  <c r="C63" i="24"/>
  <c r="C44" i="19"/>
  <c r="F44" i="19" s="1"/>
  <c r="C14" i="19"/>
  <c r="D14" i="19" s="1"/>
  <c r="C63" i="4"/>
  <c r="F15" i="19" l="1"/>
  <c r="C45" i="19"/>
  <c r="D45" i="19" s="1"/>
  <c r="C64" i="24"/>
  <c r="E45" i="19"/>
  <c r="E64" i="4"/>
  <c r="E64" i="24"/>
  <c r="D44" i="19"/>
  <c r="E44" i="19"/>
  <c r="D64" i="24"/>
  <c r="B16" i="19"/>
  <c r="A66" i="4"/>
  <c r="B65" i="4"/>
  <c r="D65" i="4" s="1"/>
  <c r="B65" i="24"/>
  <c r="B46" i="19"/>
  <c r="E65" i="24"/>
  <c r="A66" i="24"/>
  <c r="C64" i="4"/>
  <c r="C15" i="19"/>
  <c r="D15" i="19" s="1"/>
  <c r="A67" i="4" l="1"/>
  <c r="B66" i="4"/>
  <c r="E66" i="4"/>
  <c r="B17" i="19"/>
  <c r="F46" i="19"/>
  <c r="C46" i="19"/>
  <c r="D46" i="19" s="1"/>
  <c r="C65" i="24"/>
  <c r="D16" i="19"/>
  <c r="C65" i="4"/>
  <c r="C16" i="19"/>
  <c r="F16" i="19" s="1"/>
  <c r="F45" i="19"/>
  <c r="E15" i="19"/>
  <c r="A67" i="24"/>
  <c r="B66" i="24"/>
  <c r="B47" i="19"/>
  <c r="D65" i="24"/>
  <c r="E65" i="4"/>
  <c r="C47" i="19" l="1"/>
  <c r="F47" i="19" s="1"/>
  <c r="C66" i="24"/>
  <c r="A68" i="4"/>
  <c r="B18" i="19"/>
  <c r="B67" i="4"/>
  <c r="E67" i="4" s="1"/>
  <c r="E66" i="24"/>
  <c r="C17" i="19"/>
  <c r="D17" i="19" s="1"/>
  <c r="C66" i="4"/>
  <c r="A68" i="24"/>
  <c r="B67" i="24"/>
  <c r="E67" i="24" s="1"/>
  <c r="B48" i="19"/>
  <c r="E16" i="19"/>
  <c r="E46" i="19"/>
  <c r="D66" i="24"/>
  <c r="D66" i="4"/>
  <c r="C67" i="24" l="1"/>
  <c r="C48" i="19"/>
  <c r="C67" i="4"/>
  <c r="C18" i="19"/>
  <c r="E18" i="19" s="1"/>
  <c r="E17" i="19"/>
  <c r="D47" i="19"/>
  <c r="A69" i="24"/>
  <c r="B68" i="24"/>
  <c r="E68" i="24" s="1"/>
  <c r="B49" i="19"/>
  <c r="F18" i="19"/>
  <c r="D18" i="19"/>
  <c r="F17" i="19"/>
  <c r="E47" i="19"/>
  <c r="B19" i="19"/>
  <c r="D68" i="4"/>
  <c r="A69" i="4"/>
  <c r="B68" i="4"/>
  <c r="E68" i="4" s="1"/>
  <c r="D67" i="24"/>
  <c r="D48" i="19"/>
  <c r="F48" i="19"/>
  <c r="E48" i="19"/>
  <c r="D67" i="4"/>
  <c r="A70" i="4" l="1"/>
  <c r="B20" i="19"/>
  <c r="B69" i="4"/>
  <c r="C49" i="19"/>
  <c r="E49" i="19" s="1"/>
  <c r="C68" i="24"/>
  <c r="D68" i="24"/>
  <c r="B50" i="19"/>
  <c r="A70" i="24"/>
  <c r="B69" i="24"/>
  <c r="E69" i="24" s="1"/>
  <c r="D19" i="19"/>
  <c r="E19" i="19"/>
  <c r="F19" i="19"/>
  <c r="C68" i="4"/>
  <c r="C19" i="19"/>
  <c r="F49" i="19"/>
  <c r="B51" i="19" l="1"/>
  <c r="B70" i="24"/>
  <c r="E70" i="24" s="1"/>
  <c r="A71" i="24"/>
  <c r="D70" i="24"/>
  <c r="D49" i="19"/>
  <c r="D69" i="24"/>
  <c r="C69" i="4"/>
  <c r="C20" i="19"/>
  <c r="D20" i="19" s="1"/>
  <c r="D50" i="19"/>
  <c r="E69" i="4"/>
  <c r="C69" i="24"/>
  <c r="C50" i="19"/>
  <c r="E50" i="19" s="1"/>
  <c r="D69" i="4"/>
  <c r="B70" i="4"/>
  <c r="B21" i="19"/>
  <c r="A71" i="4"/>
  <c r="C21" i="19" l="1"/>
  <c r="C70" i="4"/>
  <c r="E20" i="19"/>
  <c r="E70" i="4"/>
  <c r="B71" i="24"/>
  <c r="B52" i="19"/>
  <c r="A72" i="24"/>
  <c r="F20" i="19"/>
  <c r="C70" i="24"/>
  <c r="C51" i="19"/>
  <c r="B71" i="4"/>
  <c r="A72" i="4"/>
  <c r="B22" i="19"/>
  <c r="E21" i="19"/>
  <c r="F21" i="19"/>
  <c r="D21" i="19"/>
  <c r="F50" i="19"/>
  <c r="D70" i="4"/>
  <c r="E51" i="19"/>
  <c r="D51" i="19"/>
  <c r="F51" i="19"/>
  <c r="C52" i="19" l="1"/>
  <c r="C71" i="24"/>
  <c r="E22" i="19"/>
  <c r="D22" i="19"/>
  <c r="F22" i="19"/>
  <c r="C22" i="19"/>
  <c r="C71" i="4"/>
  <c r="D71" i="24"/>
  <c r="B53" i="19"/>
  <c r="D72" i="24"/>
  <c r="B72" i="24"/>
  <c r="E72" i="24" s="1"/>
  <c r="A73" i="24"/>
  <c r="B23" i="19"/>
  <c r="A73" i="4"/>
  <c r="B72" i="4"/>
  <c r="E71" i="24"/>
  <c r="D71" i="4"/>
  <c r="E71" i="4"/>
  <c r="E52" i="19"/>
  <c r="F52" i="19"/>
  <c r="D52" i="19"/>
  <c r="A74" i="4" l="1"/>
  <c r="B24" i="19"/>
  <c r="B73" i="4"/>
  <c r="E73" i="4" s="1"/>
  <c r="D23" i="19"/>
  <c r="C72" i="4"/>
  <c r="C23" i="19"/>
  <c r="E23" i="19" s="1"/>
  <c r="B54" i="19"/>
  <c r="B73" i="24"/>
  <c r="A74" i="24"/>
  <c r="D72" i="4"/>
  <c r="E72" i="4"/>
  <c r="C53" i="19"/>
  <c r="E53" i="19" s="1"/>
  <c r="C72" i="24"/>
  <c r="A75" i="24" l="1"/>
  <c r="B74" i="24"/>
  <c r="E74" i="24" s="1"/>
  <c r="B55" i="19"/>
  <c r="D74" i="24"/>
  <c r="D53" i="19"/>
  <c r="E54" i="19"/>
  <c r="F54" i="19"/>
  <c r="C24" i="19"/>
  <c r="C73" i="4"/>
  <c r="C73" i="24"/>
  <c r="C54" i="19"/>
  <c r="D54" i="19" s="1"/>
  <c r="D73" i="4"/>
  <c r="F53" i="19"/>
  <c r="D73" i="24"/>
  <c r="F23" i="19"/>
  <c r="E73" i="24"/>
  <c r="D24" i="19"/>
  <c r="F24" i="19"/>
  <c r="E24" i="19"/>
  <c r="B25" i="19"/>
  <c r="A75" i="4"/>
  <c r="B74" i="4"/>
  <c r="C25" i="19" l="1"/>
  <c r="C74" i="4"/>
  <c r="A76" i="4"/>
  <c r="B75" i="4"/>
  <c r="D75" i="4" s="1"/>
  <c r="B26" i="19"/>
  <c r="D55" i="19"/>
  <c r="F55" i="19"/>
  <c r="E55" i="19"/>
  <c r="E74" i="4"/>
  <c r="D74" i="4"/>
  <c r="D25" i="19"/>
  <c r="E25" i="19"/>
  <c r="F25" i="19"/>
  <c r="C55" i="19"/>
  <c r="C74" i="24"/>
  <c r="B56" i="19"/>
  <c r="B75" i="24"/>
  <c r="A76" i="24"/>
  <c r="A77" i="24" l="1"/>
  <c r="B76" i="24"/>
  <c r="B57" i="19"/>
  <c r="D26" i="19"/>
  <c r="E26" i="19"/>
  <c r="B76" i="4"/>
  <c r="E76" i="4" s="1"/>
  <c r="A77" i="4"/>
  <c r="B27" i="19"/>
  <c r="C75" i="24"/>
  <c r="C56" i="19"/>
  <c r="F56" i="19" s="1"/>
  <c r="D56" i="19"/>
  <c r="D75" i="24"/>
  <c r="C75" i="4"/>
  <c r="C26" i="19"/>
  <c r="F26" i="19" s="1"/>
  <c r="E75" i="24"/>
  <c r="E75" i="4"/>
  <c r="F57" i="19" l="1"/>
  <c r="C27" i="19"/>
  <c r="F27" i="19" s="1"/>
  <c r="C76" i="4"/>
  <c r="C76" i="24"/>
  <c r="C57" i="19"/>
  <c r="E57" i="19" s="1"/>
  <c r="E56" i="19"/>
  <c r="E27" i="19"/>
  <c r="D27" i="19"/>
  <c r="E76" i="24"/>
  <c r="B77" i="24"/>
  <c r="E77" i="24" s="1"/>
  <c r="E78" i="24" s="1"/>
  <c r="B58" i="19"/>
  <c r="B28" i="19"/>
  <c r="B77" i="4"/>
  <c r="D77" i="4" s="1"/>
  <c r="D78" i="4" s="1"/>
  <c r="D76" i="4"/>
  <c r="D76" i="24"/>
  <c r="C77" i="4" l="1"/>
  <c r="C78" i="4" s="1"/>
  <c r="C89" i="4" s="1"/>
  <c r="L37" i="3" s="1"/>
  <c r="C28" i="19"/>
  <c r="C29" i="19" s="1"/>
  <c r="B78" i="4"/>
  <c r="C85" i="4" s="1"/>
  <c r="D58" i="19"/>
  <c r="D59" i="19" s="1"/>
  <c r="B64" i="19"/>
  <c r="E77" i="4"/>
  <c r="E78" i="4" s="1"/>
  <c r="D57" i="19"/>
  <c r="C58" i="19"/>
  <c r="C59" i="19" s="1"/>
  <c r="C77" i="24"/>
  <c r="C78" i="24" s="1"/>
  <c r="C89" i="24" s="1"/>
  <c r="C91" i="24" s="1"/>
  <c r="L38" i="3" s="1"/>
  <c r="B78" i="24"/>
  <c r="D77" i="24"/>
  <c r="D78" i="24" s="1"/>
  <c r="B65" i="19" l="1"/>
  <c r="C64" i="19"/>
  <c r="E64" i="19" s="1"/>
  <c r="D28" i="19"/>
  <c r="D29" i="19" s="1"/>
  <c r="L36" i="3"/>
  <c r="E58" i="19"/>
  <c r="E59" i="19" s="1"/>
  <c r="F58" i="19"/>
  <c r="F59" i="19" s="1"/>
  <c r="E28" i="19"/>
  <c r="E29" i="19" s="1"/>
  <c r="F85" i="4"/>
  <c r="E85" i="4"/>
  <c r="L30" i="3" s="1"/>
  <c r="F28" i="19"/>
  <c r="F29" i="19" s="1"/>
  <c r="C65" i="19" l="1"/>
  <c r="F65" i="19" s="1"/>
  <c r="B66" i="19"/>
  <c r="D64" i="19"/>
  <c r="F64" i="19"/>
  <c r="E65" i="19" l="1"/>
  <c r="D65" i="19"/>
  <c r="B67" i="19"/>
  <c r="C66" i="19"/>
  <c r="D66" i="19" l="1"/>
  <c r="F66" i="19"/>
  <c r="E66" i="19"/>
  <c r="C67" i="19"/>
  <c r="E67" i="19" s="1"/>
  <c r="B68" i="19"/>
  <c r="F67" i="19" l="1"/>
  <c r="D67" i="19"/>
  <c r="B69" i="19"/>
  <c r="C68" i="19"/>
  <c r="F68" i="19" s="1"/>
  <c r="D68" i="19" l="1"/>
  <c r="E68" i="19"/>
  <c r="B70" i="19"/>
  <c r="C69" i="19"/>
  <c r="E69" i="19" s="1"/>
  <c r="D69" i="19" l="1"/>
  <c r="F69" i="19"/>
  <c r="B71" i="19"/>
  <c r="C70" i="19"/>
  <c r="F70" i="19" s="1"/>
  <c r="D70" i="19" l="1"/>
  <c r="E70" i="19"/>
  <c r="B72" i="19"/>
  <c r="C71" i="19"/>
  <c r="F71" i="19" s="1"/>
  <c r="C72" i="19" l="1"/>
  <c r="F72" i="19" s="1"/>
  <c r="B73" i="19"/>
  <c r="D72" i="19"/>
  <c r="E72" i="19"/>
  <c r="D71" i="19"/>
  <c r="E71" i="19"/>
  <c r="C73" i="19" l="1"/>
  <c r="D73" i="19" s="1"/>
  <c r="B74" i="19"/>
  <c r="B75" i="19" l="1"/>
  <c r="C74" i="19"/>
  <c r="F74" i="19" s="1"/>
  <c r="F73" i="19"/>
  <c r="E73" i="19"/>
  <c r="D74" i="19" l="1"/>
  <c r="E74" i="19"/>
  <c r="B76" i="19"/>
  <c r="F75" i="19"/>
  <c r="C75" i="19"/>
  <c r="E75" i="19" s="1"/>
  <c r="D75" i="19" l="1"/>
  <c r="C76" i="19"/>
  <c r="F76" i="19" s="1"/>
  <c r="B77" i="19"/>
  <c r="C77" i="19" l="1"/>
  <c r="D77" i="19" s="1"/>
  <c r="B78" i="19"/>
  <c r="E76" i="19"/>
  <c r="D76" i="19"/>
  <c r="C78" i="19" l="1"/>
  <c r="E78" i="19"/>
  <c r="D78" i="19"/>
  <c r="F78" i="19"/>
  <c r="B79" i="19"/>
  <c r="E77" i="19"/>
  <c r="F77" i="19"/>
  <c r="C79" i="19" l="1"/>
  <c r="E79" i="19" s="1"/>
  <c r="B80" i="19"/>
  <c r="F79" i="19"/>
  <c r="D79" i="19"/>
  <c r="C80" i="19" l="1"/>
  <c r="E80" i="19" s="1"/>
  <c r="B81" i="19"/>
  <c r="C81" i="19" l="1"/>
  <c r="F81" i="19"/>
  <c r="B82" i="19"/>
  <c r="E81" i="19"/>
  <c r="D81" i="19"/>
  <c r="F80" i="19"/>
  <c r="D80" i="19"/>
  <c r="C82" i="19" l="1"/>
  <c r="F82" i="19" s="1"/>
  <c r="B83" i="19"/>
  <c r="C83" i="19" l="1"/>
  <c r="F83" i="19" s="1"/>
  <c r="B84" i="19"/>
  <c r="E82" i="19"/>
  <c r="D82" i="19"/>
  <c r="B85" i="19" l="1"/>
  <c r="C84" i="19"/>
  <c r="F84" i="19" s="1"/>
  <c r="D83" i="19"/>
  <c r="E83" i="19"/>
  <c r="E84" i="19" l="1"/>
  <c r="D84" i="19"/>
  <c r="C85" i="19"/>
  <c r="E85" i="19" s="1"/>
  <c r="D85" i="19"/>
  <c r="B86" i="19"/>
  <c r="F85" i="19" l="1"/>
  <c r="C86" i="19"/>
  <c r="F86" i="19" s="1"/>
  <c r="B87" i="19"/>
  <c r="E86" i="19"/>
  <c r="D86" i="19" l="1"/>
  <c r="C87" i="19"/>
  <c r="D87" i="19" s="1"/>
  <c r="B88" i="19"/>
  <c r="E87" i="19"/>
  <c r="F87" i="19"/>
  <c r="C88" i="19" l="1"/>
  <c r="B89" i="19"/>
  <c r="F88" i="19"/>
  <c r="D88" i="19"/>
  <c r="E88" i="19"/>
  <c r="C89" i="19" l="1"/>
  <c r="D89" i="19"/>
  <c r="F89" i="19"/>
  <c r="E89" i="19"/>
  <c r="B90" i="19"/>
  <c r="C90" i="19" l="1"/>
  <c r="D90" i="19" s="1"/>
  <c r="E90" i="19"/>
  <c r="F90" i="19"/>
  <c r="B91" i="19"/>
  <c r="C91" i="19" l="1"/>
  <c r="E91" i="19"/>
  <c r="B92" i="19"/>
  <c r="F91" i="19"/>
  <c r="D91" i="19"/>
  <c r="C92" i="19" l="1"/>
  <c r="D92" i="19" s="1"/>
  <c r="B93" i="19"/>
  <c r="E92" i="19" l="1"/>
  <c r="F92" i="19"/>
  <c r="C93" i="19"/>
  <c r="E93" i="19" s="1"/>
  <c r="B94" i="19"/>
  <c r="C94" i="19" l="1"/>
  <c r="F94" i="19" s="1"/>
  <c r="B95" i="19"/>
  <c r="D93" i="19"/>
  <c r="F93" i="19"/>
  <c r="C95" i="19" l="1"/>
  <c r="E95" i="19" s="1"/>
  <c r="B96" i="19"/>
  <c r="D94" i="19"/>
  <c r="E94" i="19"/>
  <c r="C96" i="19" l="1"/>
  <c r="D96" i="19" s="1"/>
  <c r="B97" i="19"/>
  <c r="F96" i="19"/>
  <c r="E96" i="19"/>
  <c r="D95" i="19"/>
  <c r="F95" i="19"/>
  <c r="C97" i="19" l="1"/>
  <c r="F97" i="19" s="1"/>
  <c r="B98" i="19"/>
  <c r="E97" i="19"/>
  <c r="D97" i="19"/>
  <c r="C98" i="19" l="1"/>
  <c r="B99" i="19"/>
  <c r="E98" i="19"/>
  <c r="D98" i="19"/>
  <c r="F98" i="19"/>
  <c r="B100" i="19" l="1"/>
  <c r="C99" i="19"/>
  <c r="E99" i="19" s="1"/>
  <c r="F99" i="19" l="1"/>
  <c r="D99" i="19"/>
  <c r="C100" i="19"/>
  <c r="D100" i="19"/>
  <c r="F100" i="19"/>
  <c r="E100" i="19"/>
  <c r="B101" i="19"/>
  <c r="C101" i="19" l="1"/>
  <c r="D101" i="19" s="1"/>
  <c r="B102" i="19"/>
  <c r="E101" i="19" l="1"/>
  <c r="F102" i="19"/>
  <c r="C102" i="19"/>
  <c r="E102" i="19" s="1"/>
  <c r="B103" i="19"/>
  <c r="F101" i="19"/>
  <c r="D102" i="19" l="1"/>
  <c r="F103" i="19"/>
  <c r="C103" i="19"/>
  <c r="D103" i="19" s="1"/>
  <c r="B104" i="19"/>
  <c r="E103" i="19"/>
  <c r="B105" i="19" l="1"/>
  <c r="C104" i="19"/>
  <c r="E104" i="19" s="1"/>
  <c r="C105" i="19" l="1"/>
  <c r="C106" i="19" s="1"/>
  <c r="F104" i="19"/>
  <c r="D104" i="19"/>
  <c r="D105" i="19" l="1"/>
  <c r="D106" i="19" s="1"/>
  <c r="D108" i="19" s="1"/>
  <c r="E105" i="19"/>
  <c r="E106" i="19" s="1"/>
  <c r="F105" i="19"/>
  <c r="F106" i="19" s="1"/>
  <c r="D109" i="19" s="1"/>
  <c r="D110" i="19" l="1"/>
  <c r="C116" i="19" l="1"/>
  <c r="C119" i="19"/>
  <c r="C115" i="19"/>
  <c r="C123" i="19"/>
  <c r="C125" i="19"/>
  <c r="C128" i="19"/>
  <c r="C118" i="19"/>
  <c r="L40" i="3"/>
  <c r="C129" i="19"/>
  <c r="C121" i="19"/>
  <c r="C117" i="19"/>
  <c r="C120" i="19"/>
  <c r="C122" i="19"/>
  <c r="C124" i="19"/>
  <c r="C127" i="19"/>
  <c r="C126" i="19"/>
  <c r="D123" i="19" l="1"/>
  <c r="G123" i="19" s="1"/>
  <c r="E123" i="19"/>
  <c r="F123" i="19" s="1"/>
  <c r="D125" i="19"/>
  <c r="G125" i="19" s="1"/>
  <c r="E125" i="19"/>
  <c r="F125" i="19" s="1"/>
  <c r="D122" i="19"/>
  <c r="G122" i="19" s="1"/>
  <c r="E122" i="19"/>
  <c r="F122" i="19" s="1"/>
  <c r="D115" i="19"/>
  <c r="G115" i="19" s="1"/>
  <c r="E115" i="19"/>
  <c r="F115" i="19" s="1"/>
  <c r="D120" i="19"/>
  <c r="G120" i="19" s="1"/>
  <c r="E120" i="19"/>
  <c r="F120" i="19" s="1"/>
  <c r="D127" i="19"/>
  <c r="G127" i="19" s="1"/>
  <c r="E127" i="19"/>
  <c r="F127" i="19" s="1"/>
  <c r="D121" i="19"/>
  <c r="G121" i="19" s="1"/>
  <c r="E121" i="19"/>
  <c r="F121" i="19" s="1"/>
  <c r="E124" i="19"/>
  <c r="F124" i="19" s="1"/>
  <c r="D124" i="19"/>
  <c r="G124" i="19" s="1"/>
  <c r="D129" i="19"/>
  <c r="G129" i="19" s="1"/>
  <c r="E129" i="19"/>
  <c r="F129" i="19" s="1"/>
  <c r="E118" i="19"/>
  <c r="F118" i="19" s="1"/>
  <c r="D118" i="19"/>
  <c r="G118" i="19" s="1"/>
  <c r="E119" i="19"/>
  <c r="F119" i="19" s="1"/>
  <c r="D119" i="19"/>
  <c r="G119" i="19" s="1"/>
  <c r="D126" i="19"/>
  <c r="G126" i="19" s="1"/>
  <c r="E126" i="19"/>
  <c r="F126" i="19" s="1"/>
  <c r="E117" i="19"/>
  <c r="F117" i="19" s="1"/>
  <c r="D117" i="19"/>
  <c r="G117" i="19" s="1"/>
  <c r="E128" i="19"/>
  <c r="F128" i="19" s="1"/>
  <c r="D128" i="19"/>
  <c r="G128" i="19" s="1"/>
  <c r="D116" i="19"/>
  <c r="G116" i="19" s="1"/>
  <c r="E116" i="19"/>
  <c r="F116" i="19" s="1"/>
</calcChain>
</file>

<file path=xl/sharedStrings.xml><?xml version="1.0" encoding="utf-8"?>
<sst xmlns="http://schemas.openxmlformats.org/spreadsheetml/2006/main" count="838" uniqueCount="126">
  <si>
    <t>Game Name:</t>
  </si>
  <si>
    <t>Mad Mad Monkey</t>
  </si>
  <si>
    <t>Game Type:</t>
  </si>
  <si>
    <t xml:space="preserve">5 x 4 layout (5 reel, 4 slots) </t>
  </si>
  <si>
    <t>PAYTABLE</t>
  </si>
  <si>
    <t>Wild TOP list and Scatter on the boom</t>
  </si>
  <si>
    <t>SYMBOLS PER REEL (BASE GAME)</t>
  </si>
  <si>
    <t>SYMBOLS PER REEL (FEATURE GAME)</t>
  </si>
  <si>
    <t>ENGINE RULES</t>
  </si>
  <si>
    <t>All symbols pay left to right except scatter symbol which pay any</t>
  </si>
  <si>
    <t>A3</t>
  </si>
  <si>
    <t>W</t>
  </si>
  <si>
    <t>Symbol Legend:</t>
  </si>
  <si>
    <t>Symbol:</t>
  </si>
  <si>
    <t>Reel 1</t>
  </si>
  <si>
    <t>Reel 2</t>
  </si>
  <si>
    <t>Reel 3</t>
  </si>
  <si>
    <t>Reel 4</t>
  </si>
  <si>
    <t>Reel 5</t>
  </si>
  <si>
    <t>Coinciding wins on different payline are added</t>
  </si>
  <si>
    <t>Poles</t>
  </si>
  <si>
    <t>Highest win on each selected payline</t>
  </si>
  <si>
    <t>Blocks</t>
  </si>
  <si>
    <t>G1</t>
  </si>
  <si>
    <t>Scatter wins are added to paylins wins</t>
  </si>
  <si>
    <t>Paper</t>
  </si>
  <si>
    <t>G2</t>
  </si>
  <si>
    <t>Boxes</t>
  </si>
  <si>
    <r>
      <t xml:space="preserve">(Number of free games:) are awarded when </t>
    </r>
    <r>
      <rPr>
        <b/>
        <sz val="9"/>
        <rFont val="Arial"/>
        <family val="2"/>
      </rPr>
      <t>3</t>
    </r>
    <r>
      <rPr>
        <sz val="9"/>
        <rFont val="Arial"/>
        <family val="2"/>
      </rPr>
      <t xml:space="preserve"> or more scatter symbols apper</t>
    </r>
  </si>
  <si>
    <t>Jars</t>
  </si>
  <si>
    <t>A2</t>
  </si>
  <si>
    <t>All wins with Scatter are (Feature Multiplier)</t>
  </si>
  <si>
    <t>S</t>
  </si>
  <si>
    <t>Food</t>
  </si>
  <si>
    <t>A1</t>
  </si>
  <si>
    <t>The feature can be re-triggered</t>
  </si>
  <si>
    <t>Ace</t>
  </si>
  <si>
    <t>A</t>
  </si>
  <si>
    <t>All wins with Wild are (Wild Multiplier)</t>
  </si>
  <si>
    <t>King</t>
  </si>
  <si>
    <t>K</t>
  </si>
  <si>
    <t>Queen</t>
  </si>
  <si>
    <t>Q</t>
  </si>
  <si>
    <t>Vinci per simboli prenseti sul rullo adiacente</t>
  </si>
  <si>
    <t>Jack</t>
  </si>
  <si>
    <t>J</t>
  </si>
  <si>
    <t>Ten</t>
  </si>
  <si>
    <t>T</t>
  </si>
  <si>
    <t>Scattered Cash</t>
  </si>
  <si>
    <t>Total:</t>
  </si>
  <si>
    <t>Wild Multiplier</t>
  </si>
  <si>
    <t>Feature Multiplier</t>
  </si>
  <si>
    <t>Number of free games:</t>
  </si>
  <si>
    <t>Hit Rate</t>
  </si>
  <si>
    <t>1 in</t>
  </si>
  <si>
    <t>Overall game</t>
  </si>
  <si>
    <t>Feature Games</t>
  </si>
  <si>
    <t>Payline</t>
  </si>
  <si>
    <t>Retrigger</t>
  </si>
  <si>
    <t>Scatter (FG runs with 3+)</t>
  </si>
  <si>
    <t>'% in pays of 100 credits+ (1 credit bet):</t>
  </si>
  <si>
    <t>RTP:</t>
  </si>
  <si>
    <t>Total RTP</t>
  </si>
  <si>
    <t>Base</t>
  </si>
  <si>
    <t>Feature</t>
  </si>
  <si>
    <t>Std Deviation:</t>
  </si>
  <si>
    <t>Symbol Distribution Table</t>
  </si>
  <si>
    <t>Z = substitute</t>
  </si>
  <si>
    <t>S = scatter</t>
  </si>
  <si>
    <t>Prize Table without substitute</t>
  </si>
  <si>
    <t>Combinations without substitute</t>
  </si>
  <si>
    <t>5 of</t>
  </si>
  <si>
    <t>4 of</t>
  </si>
  <si>
    <t>3 of</t>
  </si>
  <si>
    <t>2 of</t>
  </si>
  <si>
    <t>1 of</t>
  </si>
  <si>
    <t>Prize Table with substitute</t>
  </si>
  <si>
    <t>Combinations with substitute</t>
  </si>
  <si>
    <t>Overall Hits:</t>
  </si>
  <si>
    <t>Total</t>
  </si>
  <si>
    <t>Prize:</t>
  </si>
  <si>
    <t>Hits:</t>
  </si>
  <si>
    <t>Return:</t>
  </si>
  <si>
    <r>
      <t>Prize</t>
    </r>
    <r>
      <rPr>
        <b/>
        <vertAlign val="superscript"/>
        <sz val="10"/>
        <rFont val="Arial"/>
        <family val="2"/>
      </rPr>
      <t>2</t>
    </r>
    <r>
      <rPr>
        <b/>
        <sz val="10"/>
        <rFont val="Arial"/>
        <family val="2"/>
      </rPr>
      <t>.Hits</t>
    </r>
  </si>
  <si>
    <t>Coin</t>
  </si>
  <si>
    <t>Total combinations</t>
  </si>
  <si>
    <t>Feature Multiplier:</t>
  </si>
  <si>
    <t>% in pays of 100 credits+ (1 credit bet):</t>
  </si>
  <si>
    <t>Overall game hit rate:</t>
  </si>
  <si>
    <t>Thus 1 in:</t>
  </si>
  <si>
    <t>Payline hit rate:</t>
  </si>
  <si>
    <t>Scatter hit rate:</t>
  </si>
  <si>
    <t>Total return:</t>
  </si>
  <si>
    <t>Return with substitute</t>
  </si>
  <si>
    <t>Return without substitute</t>
  </si>
  <si>
    <t>Z</t>
  </si>
  <si>
    <t>Feature hit rate:</t>
  </si>
  <si>
    <t>Retriggers:</t>
  </si>
  <si>
    <t>Overall chance to be a free game:</t>
  </si>
  <si>
    <t>RTP contribution per free game:</t>
  </si>
  <si>
    <t>B</t>
  </si>
  <si>
    <t>C</t>
  </si>
  <si>
    <t>D</t>
  </si>
  <si>
    <t>E</t>
  </si>
  <si>
    <t>N</t>
  </si>
  <si>
    <t>BASE GAME:</t>
  </si>
  <si>
    <t>FEATURE GAME:</t>
  </si>
  <si>
    <t>Base Game Reel Strips</t>
  </si>
  <si>
    <t>Free Games Reel Strips</t>
  </si>
  <si>
    <t>Pos.:</t>
  </si>
  <si>
    <t>Symbol</t>
  </si>
  <si>
    <t>Base Game</t>
  </si>
  <si>
    <t>Prize2.Hits</t>
  </si>
  <si>
    <t>Feature Game</t>
  </si>
  <si>
    <t>Overall</t>
  </si>
  <si>
    <t xml:space="preserve"> </t>
  </si>
  <si>
    <t>Return to player:</t>
  </si>
  <si>
    <t>Mean:</t>
  </si>
  <si>
    <t>Standard Deviation:</t>
  </si>
  <si>
    <t>VOLATILITY TABLE</t>
  </si>
  <si>
    <t>95% CONFIDENCE VALUE FOR 1 CREDIT BET</t>
  </si>
  <si>
    <t>Profit Range</t>
  </si>
  <si>
    <t>Games played</t>
  </si>
  <si>
    <t>Range +/-</t>
  </si>
  <si>
    <t>Max</t>
  </si>
  <si>
    <t>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</si>
</sst>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(* #,##0.00_);_(* \(#,##0.00\);_(* &quot;-&quot;??_);_(@_)"/>
    <numFmt numFmtId="165" formatCode="0.000"/>
    <numFmt numFmtId="166" formatCode="0.000%"/>
    <numFmt numFmtId="167" formatCode="0.0000"/>
    <numFmt numFmtId="168" formatCode="General_)"/>
    <numFmt numFmtId="169" formatCode="mmmm\ d\,\ yyyy"/>
    <numFmt numFmtId="170" formatCode="0;\-0;;@"/>
    <numFmt numFmtId="171" formatCode="\+\/\-0.000"/>
    <numFmt numFmtId="172" formatCode="0.0"/>
    <numFmt numFmtId="173" formatCode="0.00000000000000000000000000%"/>
    <numFmt numFmtId="174" formatCode="_(* #,##0_);_(* \(#,##0\);_(* &quot;-&quot;??_);_(@_)"/>
    <numFmt numFmtId="175" formatCode="0.0000000E+00"/>
  </numFmts>
  <fonts count="16" x14ac:knownFonts="1">
    <font>
      <sz val="10"/>
      <name val="Arial"/>
    </font>
    <font>
      <sz val="10"/>
      <name val="Arial"/>
      <family val="2"/>
    </font>
    <font>
      <sz val="10"/>
      <name val="Helv"/>
    </font>
    <font>
      <b/>
      <sz val="10"/>
      <name val="Arial"/>
      <family val="2"/>
    </font>
    <font>
      <sz val="8"/>
      <name val="Arial"/>
      <family val="2"/>
    </font>
    <font>
      <b/>
      <u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Courier"/>
      <family val="3"/>
    </font>
    <font>
      <b/>
      <vertAlign val="superscript"/>
      <sz val="10"/>
      <name val="Arial"/>
      <family val="2"/>
    </font>
    <font>
      <b/>
      <sz val="12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9"/>
      <color theme="0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4" fontId="1" fillId="0" borderId="0" applyFont="0" applyFill="0" applyBorder="0" applyAlignment="0" applyProtection="0"/>
    <xf numFmtId="0" fontId="2" fillId="0" borderId="0"/>
    <xf numFmtId="0" fontId="1" fillId="0" borderId="0"/>
    <xf numFmtId="168" fontId="8" fillId="0" borderId="0"/>
    <xf numFmtId="9" fontId="1" fillId="0" borderId="0" applyFont="0" applyFill="0" applyBorder="0" applyAlignment="0" applyProtection="0"/>
  </cellStyleXfs>
  <cellXfs count="168">
    <xf numFmtId="0" fontId="0" fillId="0" borderId="0" xfId="0"/>
    <xf numFmtId="0" fontId="3" fillId="0" borderId="0" xfId="2" applyFont="1"/>
    <xf numFmtId="0" fontId="4" fillId="0" borderId="0" xfId="2" applyFont="1"/>
    <xf numFmtId="0" fontId="4" fillId="0" borderId="1" xfId="2" applyFont="1" applyBorder="1"/>
    <xf numFmtId="0" fontId="3" fillId="0" borderId="0" xfId="0" applyFont="1"/>
    <xf numFmtId="0" fontId="6" fillId="0" borderId="2" xfId="2" applyFont="1" applyBorder="1"/>
    <xf numFmtId="0" fontId="6" fillId="0" borderId="0" xfId="2" applyFont="1"/>
    <xf numFmtId="0" fontId="6" fillId="0" borderId="3" xfId="2" applyFont="1" applyBorder="1"/>
    <xf numFmtId="0" fontId="7" fillId="0" borderId="2" xfId="2" applyFont="1" applyBorder="1"/>
    <xf numFmtId="0" fontId="7" fillId="0" borderId="0" xfId="2" applyFont="1" applyAlignment="1">
      <alignment horizontal="center"/>
    </xf>
    <xf numFmtId="0" fontId="6" fillId="0" borderId="2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7" fillId="0" borderId="2" xfId="2" applyFont="1" applyBorder="1" applyAlignment="1">
      <alignment horizontal="center"/>
    </xf>
    <xf numFmtId="0" fontId="5" fillId="0" borderId="2" xfId="2" applyFont="1" applyBorder="1"/>
    <xf numFmtId="0" fontId="6" fillId="0" borderId="4" xfId="2" applyFont="1" applyBorder="1"/>
    <xf numFmtId="0" fontId="6" fillId="0" borderId="5" xfId="2" applyFont="1" applyBorder="1"/>
    <xf numFmtId="0" fontId="0" fillId="0" borderId="0" xfId="0" applyAlignment="1">
      <alignment horizontal="center"/>
    </xf>
    <xf numFmtId="166" fontId="6" fillId="0" borderId="0" xfId="5" applyNumberFormat="1" applyFont="1" applyBorder="1"/>
    <xf numFmtId="0" fontId="7" fillId="0" borderId="3" xfId="2" applyFont="1" applyBorder="1" applyAlignment="1">
      <alignment horizontal="center"/>
    </xf>
    <xf numFmtId="0" fontId="6" fillId="0" borderId="3" xfId="2" applyFont="1" applyBorder="1" applyAlignment="1">
      <alignment horizontal="center"/>
    </xf>
    <xf numFmtId="0" fontId="3" fillId="0" borderId="0" xfId="0" applyFont="1" applyAlignment="1">
      <alignment horizontal="center"/>
    </xf>
    <xf numFmtId="166" fontId="1" fillId="0" borderId="0" xfId="5" applyNumberFormat="1"/>
    <xf numFmtId="165" fontId="3" fillId="0" borderId="0" xfId="0" applyNumberFormat="1" applyFont="1"/>
    <xf numFmtId="166" fontId="0" fillId="0" borderId="0" xfId="0" applyNumberFormat="1"/>
    <xf numFmtId="0" fontId="1" fillId="0" borderId="0" xfId="3"/>
    <xf numFmtId="168" fontId="10" fillId="0" borderId="0" xfId="4" applyFont="1" applyAlignment="1">
      <alignment horizontal="left"/>
    </xf>
    <xf numFmtId="168" fontId="11" fillId="0" borderId="0" xfId="4" applyFont="1"/>
    <xf numFmtId="168" fontId="3" fillId="0" borderId="0" xfId="4" applyFont="1"/>
    <xf numFmtId="168" fontId="3" fillId="0" borderId="0" xfId="4" applyFont="1" applyAlignment="1">
      <alignment horizontal="center"/>
    </xf>
    <xf numFmtId="168" fontId="12" fillId="0" borderId="6" xfId="4" applyFont="1" applyBorder="1" applyAlignment="1">
      <alignment horizontal="right"/>
    </xf>
    <xf numFmtId="168" fontId="12" fillId="0" borderId="6" xfId="4" applyFont="1" applyBorder="1" applyAlignment="1">
      <alignment horizontal="center"/>
    </xf>
    <xf numFmtId="10" fontId="0" fillId="0" borderId="0" xfId="0" applyNumberFormat="1"/>
    <xf numFmtId="0" fontId="7" fillId="0" borderId="0" xfId="2" applyFont="1"/>
    <xf numFmtId="0" fontId="3" fillId="0" borderId="7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9" xfId="0" applyFont="1" applyBorder="1"/>
    <xf numFmtId="0" fontId="0" fillId="0" borderId="7" xfId="0" applyBorder="1"/>
    <xf numFmtId="0" fontId="0" fillId="0" borderId="1" xfId="0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" xfId="0" applyBorder="1"/>
    <xf numFmtId="169" fontId="3" fillId="0" borderId="0" xfId="0" applyNumberFormat="1" applyFont="1" applyAlignment="1">
      <alignment horizontal="left"/>
    </xf>
    <xf numFmtId="0" fontId="3" fillId="0" borderId="9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3" fillId="0" borderId="0" xfId="0" applyFont="1" applyAlignment="1">
      <alignment horizontal="left"/>
    </xf>
    <xf numFmtId="10" fontId="0" fillId="0" borderId="0" xfId="0" applyNumberFormat="1" applyAlignment="1">
      <alignment horizontal="center"/>
    </xf>
    <xf numFmtId="0" fontId="7" fillId="0" borderId="8" xfId="2" applyFont="1" applyBorder="1" applyAlignment="1">
      <alignment horizontal="center"/>
    </xf>
    <xf numFmtId="0" fontId="7" fillId="0" borderId="4" xfId="2" applyFont="1" applyBorder="1" applyAlignment="1">
      <alignment horizontal="center"/>
    </xf>
    <xf numFmtId="0" fontId="7" fillId="0" borderId="5" xfId="2" applyFont="1" applyBorder="1" applyAlignment="1">
      <alignment horizontal="center"/>
    </xf>
    <xf numFmtId="17" fontId="3" fillId="0" borderId="0" xfId="0" applyNumberFormat="1" applyFont="1" applyAlignment="1">
      <alignment horizontal="left"/>
    </xf>
    <xf numFmtId="166" fontId="3" fillId="0" borderId="4" xfId="5" applyNumberFormat="1" applyFont="1" applyBorder="1" applyAlignment="1">
      <alignment horizontal="center"/>
    </xf>
    <xf numFmtId="1" fontId="0" fillId="0" borderId="0" xfId="0" applyNumberFormat="1"/>
    <xf numFmtId="166" fontId="0" fillId="0" borderId="0" xfId="5" applyNumberFormat="1" applyFont="1" applyBorder="1" applyAlignment="1">
      <alignment horizontal="center"/>
    </xf>
    <xf numFmtId="166" fontId="1" fillId="0" borderId="0" xfId="5" applyNumberFormat="1" applyBorder="1" applyAlignment="1">
      <alignment horizontal="center"/>
    </xf>
    <xf numFmtId="166" fontId="3" fillId="0" borderId="0" xfId="0" applyNumberFormat="1" applyFont="1" applyAlignment="1">
      <alignment horizontal="right"/>
    </xf>
    <xf numFmtId="170" fontId="0" fillId="0" borderId="2" xfId="0" applyNumberFormat="1" applyBorder="1" applyAlignment="1">
      <alignment horizontal="center"/>
    </xf>
    <xf numFmtId="166" fontId="3" fillId="0" borderId="4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165" fontId="3" fillId="0" borderId="4" xfId="0" applyNumberFormat="1" applyFont="1" applyBorder="1" applyAlignment="1">
      <alignment horizontal="center"/>
    </xf>
    <xf numFmtId="172" fontId="0" fillId="0" borderId="0" xfId="0" applyNumberFormat="1" applyAlignment="1">
      <alignment horizontal="center"/>
    </xf>
    <xf numFmtId="165" fontId="3" fillId="0" borderId="2" xfId="0" applyNumberFormat="1" applyFont="1" applyBorder="1"/>
    <xf numFmtId="173" fontId="0" fillId="0" borderId="0" xfId="5" applyNumberFormat="1" applyFont="1"/>
    <xf numFmtId="172" fontId="3" fillId="0" borderId="4" xfId="0" applyNumberFormat="1" applyFont="1" applyBorder="1" applyAlignment="1">
      <alignment horizontal="center"/>
    </xf>
    <xf numFmtId="0" fontId="3" fillId="0" borderId="4" xfId="5" applyNumberFormat="1" applyFont="1" applyBorder="1" applyAlignment="1">
      <alignment horizontal="center"/>
    </xf>
    <xf numFmtId="165" fontId="6" fillId="0" borderId="0" xfId="5" applyNumberFormat="1" applyFont="1" applyBorder="1"/>
    <xf numFmtId="0" fontId="14" fillId="0" borderId="0" xfId="0" applyFont="1" applyAlignment="1">
      <alignment horizontal="center"/>
    </xf>
    <xf numFmtId="0" fontId="13" fillId="0" borderId="0" xfId="0" applyFont="1"/>
    <xf numFmtId="166" fontId="3" fillId="0" borderId="0" xfId="5" applyNumberFormat="1" applyFont="1" applyBorder="1" applyAlignment="1">
      <alignment horizontal="center"/>
    </xf>
    <xf numFmtId="0" fontId="3" fillId="0" borderId="0" xfId="2" applyFont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0" xfId="0" applyNumberFormat="1"/>
    <xf numFmtId="0" fontId="6" fillId="0" borderId="0" xfId="2" applyFont="1" applyAlignment="1">
      <alignment horizontal="right"/>
    </xf>
    <xf numFmtId="165" fontId="6" fillId="0" borderId="0" xfId="2" applyNumberFormat="1" applyFont="1" applyAlignment="1">
      <alignment horizontal="center"/>
    </xf>
    <xf numFmtId="166" fontId="6" fillId="0" borderId="0" xfId="5" applyNumberFormat="1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8" xfId="2" applyFont="1" applyBorder="1"/>
    <xf numFmtId="10" fontId="6" fillId="0" borderId="4" xfId="5" applyNumberFormat="1" applyFont="1" applyBorder="1"/>
    <xf numFmtId="166" fontId="3" fillId="0" borderId="0" xfId="0" applyNumberFormat="1" applyFont="1"/>
    <xf numFmtId="174" fontId="3" fillId="0" borderId="0" xfId="1" applyNumberFormat="1" applyFont="1"/>
    <xf numFmtId="174" fontId="0" fillId="0" borderId="0" xfId="1" applyNumberFormat="1" applyFont="1" applyBorder="1" applyAlignment="1">
      <alignment horizontal="center"/>
    </xf>
    <xf numFmtId="174" fontId="3" fillId="0" borderId="4" xfId="1" applyNumberFormat="1" applyFont="1" applyBorder="1" applyAlignment="1">
      <alignment horizontal="center"/>
    </xf>
    <xf numFmtId="174" fontId="0" fillId="0" borderId="0" xfId="1" applyNumberFormat="1" applyFont="1" applyBorder="1"/>
    <xf numFmtId="174" fontId="0" fillId="0" borderId="3" xfId="1" applyNumberFormat="1" applyFont="1" applyBorder="1"/>
    <xf numFmtId="174" fontId="3" fillId="0" borderId="4" xfId="1" applyNumberFormat="1" applyFont="1" applyBorder="1"/>
    <xf numFmtId="174" fontId="3" fillId="0" borderId="5" xfId="1" applyNumberFormat="1" applyFont="1" applyBorder="1"/>
    <xf numFmtId="10" fontId="6" fillId="0" borderId="0" xfId="5" applyNumberFormat="1" applyFont="1" applyBorder="1"/>
    <xf numFmtId="175" fontId="0" fillId="0" borderId="0" xfId="0" applyNumberFormat="1" applyAlignment="1">
      <alignment horizontal="center"/>
    </xf>
    <xf numFmtId="165" fontId="6" fillId="2" borderId="0" xfId="5" applyNumberFormat="1" applyFont="1" applyFill="1" applyBorder="1"/>
    <xf numFmtId="0" fontId="6" fillId="2" borderId="0" xfId="2" applyFont="1" applyFill="1"/>
    <xf numFmtId="174" fontId="0" fillId="0" borderId="3" xfId="1" applyNumberFormat="1" applyFont="1" applyBorder="1" applyAlignment="1">
      <alignment horizontal="center"/>
    </xf>
    <xf numFmtId="174" fontId="3" fillId="0" borderId="5" xfId="1" applyNumberFormat="1" applyFont="1" applyBorder="1" applyAlignment="1">
      <alignment horizontal="center"/>
    </xf>
    <xf numFmtId="0" fontId="5" fillId="0" borderId="10" xfId="2" applyFont="1" applyBorder="1"/>
    <xf numFmtId="174" fontId="0" fillId="0" borderId="0" xfId="0" applyNumberFormat="1"/>
    <xf numFmtId="174" fontId="1" fillId="0" borderId="0" xfId="0" applyNumberFormat="1" applyFont="1"/>
    <xf numFmtId="10" fontId="0" fillId="0" borderId="0" xfId="5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2" xfId="0" applyBorder="1" applyAlignment="1">
      <alignment horizontal="right"/>
    </xf>
    <xf numFmtId="0" fontId="0" fillId="0" borderId="0" xfId="0" quotePrefix="1" applyAlignment="1">
      <alignment horizontal="right"/>
    </xf>
    <xf numFmtId="166" fontId="3" fillId="0" borderId="0" xfId="5" applyNumberFormat="1" applyFont="1" applyBorder="1" applyAlignment="1">
      <alignment horizontal="right"/>
    </xf>
    <xf numFmtId="10" fontId="6" fillId="0" borderId="4" xfId="5" applyNumberFormat="1" applyFont="1" applyFill="1" applyBorder="1"/>
    <xf numFmtId="3" fontId="6" fillId="0" borderId="0" xfId="2" applyNumberFormat="1" applyFont="1" applyAlignment="1">
      <alignment horizontal="center"/>
    </xf>
    <xf numFmtId="0" fontId="6" fillId="3" borderId="0" xfId="2" applyFont="1" applyFill="1" applyAlignment="1">
      <alignment horizontal="center"/>
    </xf>
    <xf numFmtId="0" fontId="6" fillId="3" borderId="3" xfId="2" applyFont="1" applyFill="1" applyBorder="1" applyAlignment="1">
      <alignment horizontal="center"/>
    </xf>
    <xf numFmtId="0" fontId="7" fillId="3" borderId="0" xfId="2" applyFont="1" applyFill="1"/>
    <xf numFmtId="0" fontId="5" fillId="0" borderId="0" xfId="2" applyFont="1" applyAlignment="1">
      <alignment horizontal="center"/>
    </xf>
    <xf numFmtId="0" fontId="6" fillId="0" borderId="0" xfId="2" quotePrefix="1" applyFont="1" applyAlignment="1">
      <alignment horizontal="center"/>
    </xf>
    <xf numFmtId="0" fontId="5" fillId="0" borderId="0" xfId="2" applyFont="1"/>
    <xf numFmtId="0" fontId="6" fillId="3" borderId="0" xfId="2" applyFont="1" applyFill="1"/>
    <xf numFmtId="0" fontId="6" fillId="3" borderId="0" xfId="2" applyFont="1" applyFill="1" applyAlignment="1">
      <alignment horizontal="left"/>
    </xf>
    <xf numFmtId="0" fontId="6" fillId="0" borderId="11" xfId="2" applyFont="1" applyBorder="1"/>
    <xf numFmtId="0" fontId="6" fillId="0" borderId="11" xfId="2" quotePrefix="1" applyFont="1" applyBorder="1" applyAlignment="1">
      <alignment horizontal="center"/>
    </xf>
    <xf numFmtId="0" fontId="5" fillId="0" borderId="11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4" fillId="0" borderId="11" xfId="2" applyFont="1" applyBorder="1"/>
    <xf numFmtId="0" fontId="6" fillId="0" borderId="12" xfId="2" applyFont="1" applyBorder="1"/>
    <xf numFmtId="0" fontId="7" fillId="0" borderId="11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5" fillId="0" borderId="7" xfId="2" applyFont="1" applyBorder="1"/>
    <xf numFmtId="0" fontId="6" fillId="0" borderId="7" xfId="2" applyFont="1" applyBorder="1"/>
    <xf numFmtId="3" fontId="6" fillId="0" borderId="3" xfId="2" applyNumberFormat="1" applyFont="1" applyBorder="1" applyAlignment="1">
      <alignment horizontal="center"/>
    </xf>
    <xf numFmtId="0" fontId="4" fillId="0" borderId="3" xfId="2" applyFont="1" applyBorder="1"/>
    <xf numFmtId="0" fontId="4" fillId="0" borderId="8" xfId="2" applyFont="1" applyBorder="1"/>
    <xf numFmtId="0" fontId="4" fillId="0" borderId="4" xfId="2" applyFont="1" applyBorder="1"/>
    <xf numFmtId="0" fontId="4" fillId="0" borderId="5" xfId="2" applyFont="1" applyBorder="1"/>
    <xf numFmtId="0" fontId="4" fillId="0" borderId="13" xfId="2" applyFont="1" applyBorder="1"/>
    <xf numFmtId="0" fontId="4" fillId="0" borderId="0" xfId="2" applyFont="1" applyAlignment="1">
      <alignment vertical="center" wrapText="1"/>
    </xf>
    <xf numFmtId="0" fontId="4" fillId="0" borderId="0" xfId="2" applyFont="1" applyAlignment="1">
      <alignment wrapText="1"/>
    </xf>
    <xf numFmtId="0" fontId="15" fillId="4" borderId="11" xfId="2" applyFont="1" applyFill="1" applyBorder="1" applyAlignment="1">
      <alignment horizontal="center"/>
    </xf>
    <xf numFmtId="0" fontId="15" fillId="0" borderId="2" xfId="2" applyFont="1" applyBorder="1" applyAlignment="1">
      <alignment horizontal="center"/>
    </xf>
    <xf numFmtId="0" fontId="5" fillId="0" borderId="4" xfId="2" applyFont="1" applyBorder="1"/>
    <xf numFmtId="0" fontId="6" fillId="0" borderId="9" xfId="2" applyFont="1" applyBorder="1"/>
    <xf numFmtId="0" fontId="6" fillId="0" borderId="1" xfId="2" applyFont="1" applyBorder="1"/>
    <xf numFmtId="0" fontId="5" fillId="0" borderId="14" xfId="2" applyFont="1" applyBorder="1"/>
    <xf numFmtId="166" fontId="6" fillId="0" borderId="0" xfId="2" applyNumberFormat="1" applyFont="1"/>
    <xf numFmtId="0" fontId="1" fillId="0" borderId="0" xfId="0" applyFont="1"/>
    <xf numFmtId="0" fontId="1" fillId="0" borderId="0" xfId="2" applyFont="1" applyAlignment="1">
      <alignment horizontal="left"/>
    </xf>
    <xf numFmtId="0" fontId="1" fillId="0" borderId="0" xfId="2" applyFont="1"/>
    <xf numFmtId="167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/>
    <xf numFmtId="0" fontId="1" fillId="0" borderId="3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0" xfId="5" applyNumberFormat="1" applyFont="1" applyBorder="1" applyAlignment="1">
      <alignment horizontal="right"/>
    </xf>
    <xf numFmtId="2" fontId="1" fillId="0" borderId="0" xfId="0" applyNumberFormat="1" applyFont="1" applyAlignment="1">
      <alignment horizontal="center"/>
    </xf>
    <xf numFmtId="166" fontId="1" fillId="0" borderId="0" xfId="5" applyNumberFormat="1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0" xfId="2" applyFont="1" applyAlignment="1">
      <alignment horizontal="center"/>
    </xf>
    <xf numFmtId="0" fontId="1" fillId="0" borderId="3" xfId="2" applyFont="1" applyBorder="1" applyAlignment="1">
      <alignment horizontal="center"/>
    </xf>
    <xf numFmtId="168" fontId="1" fillId="0" borderId="0" xfId="4" applyFont="1"/>
    <xf numFmtId="3" fontId="1" fillId="0" borderId="0" xfId="4" applyNumberFormat="1" applyFont="1"/>
    <xf numFmtId="171" fontId="1" fillId="0" borderId="0" xfId="4" applyNumberFormat="1" applyFont="1" applyAlignment="1">
      <alignment horizontal="center"/>
    </xf>
    <xf numFmtId="165" fontId="1" fillId="0" borderId="0" xfId="4" applyNumberFormat="1" applyFont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16" xfId="0" applyFont="1" applyBorder="1" applyAlignment="1">
      <alignment horizontal="center"/>
    </xf>
  </cellXfs>
  <cellStyles count="6">
    <cellStyle name="Migliaia" xfId="1" builtinId="3"/>
    <cellStyle name="Normal_ENGIN (3)" xfId="2" xr:uid="{00000000-0005-0000-0000-000002000000}"/>
    <cellStyle name="Normal_GAME ANALYSIS " xfId="3" xr:uid="{00000000-0005-0000-0000-000003000000}"/>
    <cellStyle name="Normal_GAME ANALYSIS (2)" xfId="4" xr:uid="{00000000-0005-0000-0000-000004000000}"/>
    <cellStyle name="Normale" xfId="0" builtinId="0"/>
    <cellStyle name="Percentuale" xfId="5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AB55"/>
  <sheetViews>
    <sheetView showGridLines="0" zoomScaleNormal="100" workbookViewId="0">
      <selection activeCell="I35" sqref="I35"/>
    </sheetView>
  </sheetViews>
  <sheetFormatPr defaultColWidth="9.1796875" defaultRowHeight="10" x14ac:dyDescent="0.2"/>
  <cols>
    <col min="1" max="1" width="9.1796875" style="2"/>
    <col min="2" max="2" width="5.1796875" style="2" customWidth="1"/>
    <col min="3" max="3" width="10" style="2" customWidth="1"/>
    <col min="4" max="4" width="14.81640625" style="2" customWidth="1"/>
    <col min="5" max="5" width="5.7265625" style="2" customWidth="1"/>
    <col min="6" max="6" width="14.7265625" style="2" customWidth="1"/>
    <col min="7" max="7" width="11" style="2" customWidth="1"/>
    <col min="8" max="8" width="3.7265625" style="2" customWidth="1"/>
    <col min="9" max="9" width="16.26953125" style="2" customWidth="1"/>
    <col min="10" max="11" width="7.7265625" style="2" customWidth="1"/>
    <col min="12" max="12" width="8.7265625" style="2" customWidth="1"/>
    <col min="13" max="17" width="7.7265625" style="2" customWidth="1"/>
    <col min="18" max="18" width="8.7265625" style="2" customWidth="1"/>
    <col min="19" max="21" width="7.7265625" style="2" customWidth="1"/>
    <col min="22" max="16384" width="9.1796875" style="2"/>
  </cols>
  <sheetData>
    <row r="3" spans="1:28" ht="13" x14ac:dyDescent="0.3">
      <c r="B3" s="145" t="s">
        <v>0</v>
      </c>
      <c r="D3" s="4" t="s">
        <v>1</v>
      </c>
    </row>
    <row r="4" spans="1:28" ht="13" x14ac:dyDescent="0.3">
      <c r="B4" s="145" t="s">
        <v>2</v>
      </c>
      <c r="D4" s="4" t="s">
        <v>3</v>
      </c>
      <c r="G4" s="6"/>
    </row>
    <row r="5" spans="1:28" ht="13.5" customHeight="1" thickBot="1" x14ac:dyDescent="0.35">
      <c r="B5" s="146"/>
      <c r="C5" s="146"/>
      <c r="D5" s="1"/>
      <c r="V5" s="6"/>
    </row>
    <row r="6" spans="1:28" ht="21.5" thickBot="1" x14ac:dyDescent="0.35">
      <c r="A6" s="6"/>
      <c r="B6" s="165" t="s">
        <v>4</v>
      </c>
      <c r="C6" s="166"/>
      <c r="D6" s="166"/>
      <c r="E6" s="166"/>
      <c r="F6" s="166"/>
      <c r="G6" s="167"/>
      <c r="I6" s="137" t="s">
        <v>5</v>
      </c>
      <c r="J6" s="165" t="s">
        <v>6</v>
      </c>
      <c r="K6" s="166"/>
      <c r="L6" s="166"/>
      <c r="M6" s="166"/>
      <c r="N6" s="166"/>
      <c r="O6" s="167"/>
      <c r="P6" s="165" t="s">
        <v>7</v>
      </c>
      <c r="Q6" s="166"/>
      <c r="R6" s="166"/>
      <c r="S6" s="166"/>
      <c r="T6" s="166"/>
      <c r="U6" s="167"/>
      <c r="V6" s="6"/>
      <c r="W6" s="32" t="s">
        <v>8</v>
      </c>
      <c r="Z6" s="6"/>
    </row>
    <row r="7" spans="1:28" s="6" customFormat="1" ht="12" customHeight="1" x14ac:dyDescent="0.25">
      <c r="B7" s="127"/>
      <c r="C7" s="128"/>
      <c r="D7" s="129"/>
      <c r="E7" s="125"/>
      <c r="F7" s="129"/>
      <c r="G7" s="3"/>
      <c r="H7" s="2"/>
      <c r="I7" s="2"/>
      <c r="J7" s="141"/>
      <c r="K7" s="129"/>
      <c r="L7" s="129"/>
      <c r="M7" s="129"/>
      <c r="N7" s="129"/>
      <c r="O7" s="142"/>
      <c r="U7" s="7"/>
      <c r="W7" s="6" t="s">
        <v>9</v>
      </c>
      <c r="X7" s="2"/>
      <c r="Y7" s="2"/>
      <c r="AA7" s="2"/>
      <c r="AB7" s="2"/>
    </row>
    <row r="8" spans="1:28" s="6" customFormat="1" ht="12" customHeight="1" x14ac:dyDescent="0.25">
      <c r="B8" s="12" t="s">
        <v>10</v>
      </c>
      <c r="C8" s="115" t="str">
        <f t="array" ref="C8">INDEX($I$9:$I$20,MATCH(B8,$J$9:$J$20,0),0)</f>
        <v>Boxes</v>
      </c>
      <c r="D8" s="111"/>
      <c r="E8" s="126" t="s">
        <v>11</v>
      </c>
      <c r="F8" s="115" t="str">
        <f t="array" ref="F8">INDEX($I$9:$I$20,MATCH(E8,$J$9:$J$20,0),0)</f>
        <v>Poles</v>
      </c>
      <c r="G8" s="130"/>
      <c r="H8" s="2"/>
      <c r="I8" s="117" t="s">
        <v>12</v>
      </c>
      <c r="J8" s="8" t="s">
        <v>13</v>
      </c>
      <c r="K8" s="9" t="s">
        <v>14</v>
      </c>
      <c r="L8" s="9" t="s">
        <v>15</v>
      </c>
      <c r="M8" s="9" t="s">
        <v>16</v>
      </c>
      <c r="N8" s="9" t="s">
        <v>17</v>
      </c>
      <c r="O8" s="18" t="s">
        <v>18</v>
      </c>
      <c r="P8" s="32" t="s">
        <v>13</v>
      </c>
      <c r="Q8" s="9" t="s">
        <v>14</v>
      </c>
      <c r="R8" s="9" t="s">
        <v>15</v>
      </c>
      <c r="S8" s="9" t="s">
        <v>16</v>
      </c>
      <c r="T8" s="9" t="s">
        <v>17</v>
      </c>
      <c r="U8" s="18" t="s">
        <v>18</v>
      </c>
      <c r="W8" s="6" t="s">
        <v>19</v>
      </c>
      <c r="X8" s="2"/>
      <c r="Y8" s="2"/>
      <c r="AA8" s="2"/>
      <c r="AB8" s="2"/>
    </row>
    <row r="9" spans="1:28" s="6" customFormat="1" ht="12" customHeight="1" x14ac:dyDescent="0.25">
      <c r="B9" s="139" t="str">
        <f>B8</f>
        <v>A3</v>
      </c>
      <c r="C9" s="11">
        <v>5</v>
      </c>
      <c r="D9" s="112">
        <v>400</v>
      </c>
      <c r="E9" s="138" t="str">
        <f>E8</f>
        <v>W</v>
      </c>
      <c r="F9" s="11">
        <v>5</v>
      </c>
      <c r="G9" s="113">
        <v>0</v>
      </c>
      <c r="H9" s="136"/>
      <c r="I9" s="118" t="s">
        <v>20</v>
      </c>
      <c r="J9" s="10" t="s">
        <v>11</v>
      </c>
      <c r="K9" s="112">
        <v>0</v>
      </c>
      <c r="L9" s="112">
        <v>4</v>
      </c>
      <c r="M9" s="112">
        <v>4</v>
      </c>
      <c r="N9" s="112">
        <v>4</v>
      </c>
      <c r="O9" s="113">
        <v>0</v>
      </c>
      <c r="P9" s="11" t="str">
        <f>J9</f>
        <v>W</v>
      </c>
      <c r="Q9" s="112">
        <v>0</v>
      </c>
      <c r="R9" s="112">
        <v>4</v>
      </c>
      <c r="S9" s="112">
        <v>4</v>
      </c>
      <c r="T9" s="112">
        <v>4</v>
      </c>
      <c r="U9" s="113">
        <v>0</v>
      </c>
      <c r="W9" s="6" t="s">
        <v>21</v>
      </c>
      <c r="X9" s="2"/>
      <c r="Y9" s="2"/>
      <c r="AA9" s="2"/>
      <c r="AB9" s="2"/>
    </row>
    <row r="10" spans="1:28" s="6" customFormat="1" ht="12" customHeight="1" x14ac:dyDescent="0.25">
      <c r="B10" s="139" t="str">
        <f>B9</f>
        <v>A3</v>
      </c>
      <c r="C10" s="11">
        <v>4</v>
      </c>
      <c r="D10" s="112">
        <v>40</v>
      </c>
      <c r="E10" s="138" t="str">
        <f>E9</f>
        <v>W</v>
      </c>
      <c r="F10" s="11">
        <v>4</v>
      </c>
      <c r="G10" s="113">
        <v>0</v>
      </c>
      <c r="H10" s="136"/>
      <c r="I10" s="118" t="s">
        <v>22</v>
      </c>
      <c r="J10" s="10" t="s">
        <v>23</v>
      </c>
      <c r="K10" s="112">
        <v>2</v>
      </c>
      <c r="L10" s="112">
        <v>2</v>
      </c>
      <c r="M10" s="112">
        <v>4</v>
      </c>
      <c r="N10" s="112">
        <v>3</v>
      </c>
      <c r="O10" s="113">
        <v>3</v>
      </c>
      <c r="P10" s="11" t="str">
        <f t="shared" ref="P10:P20" si="0">J10</f>
        <v>G1</v>
      </c>
      <c r="Q10" s="112">
        <v>4</v>
      </c>
      <c r="R10" s="112">
        <v>4</v>
      </c>
      <c r="S10" s="112">
        <v>4</v>
      </c>
      <c r="T10" s="112">
        <v>4</v>
      </c>
      <c r="U10" s="113">
        <v>4</v>
      </c>
      <c r="W10" s="6" t="s">
        <v>24</v>
      </c>
      <c r="X10" s="2"/>
      <c r="Y10" s="2"/>
      <c r="AA10" s="2"/>
      <c r="AB10" s="2"/>
    </row>
    <row r="11" spans="1:28" s="6" customFormat="1" ht="12" customHeight="1" x14ac:dyDescent="0.25">
      <c r="B11" s="139" t="str">
        <f>B10</f>
        <v>A3</v>
      </c>
      <c r="C11" s="116">
        <v>3</v>
      </c>
      <c r="D11" s="112">
        <v>20</v>
      </c>
      <c r="E11" s="138" t="str">
        <f>E10</f>
        <v>W</v>
      </c>
      <c r="F11" s="116">
        <v>3</v>
      </c>
      <c r="G11" s="113">
        <v>0</v>
      </c>
      <c r="H11" s="136"/>
      <c r="I11" s="118" t="s">
        <v>25</v>
      </c>
      <c r="J11" s="10" t="s">
        <v>26</v>
      </c>
      <c r="K11" s="112">
        <v>4</v>
      </c>
      <c r="L11" s="112">
        <v>2</v>
      </c>
      <c r="M11" s="112">
        <v>1</v>
      </c>
      <c r="N11" s="112">
        <v>2</v>
      </c>
      <c r="O11" s="113">
        <v>1</v>
      </c>
      <c r="P11" s="11" t="str">
        <f t="shared" si="0"/>
        <v>G2</v>
      </c>
      <c r="Q11" s="112">
        <v>1</v>
      </c>
      <c r="R11" s="112">
        <v>6</v>
      </c>
      <c r="S11" s="112">
        <v>5</v>
      </c>
      <c r="T11" s="112">
        <v>3</v>
      </c>
      <c r="U11" s="113">
        <v>3</v>
      </c>
      <c r="X11" s="2"/>
      <c r="Y11" s="2"/>
      <c r="AA11" s="2"/>
      <c r="AB11" s="2"/>
    </row>
    <row r="12" spans="1:28" s="6" customFormat="1" ht="12" customHeight="1" x14ac:dyDescent="0.25">
      <c r="B12" s="139" t="str">
        <f>B11</f>
        <v>A3</v>
      </c>
      <c r="C12" s="11">
        <v>2</v>
      </c>
      <c r="D12" s="112">
        <v>0</v>
      </c>
      <c r="E12" s="138" t="str">
        <f>E11</f>
        <v>W</v>
      </c>
      <c r="F12" s="11">
        <v>2</v>
      </c>
      <c r="G12" s="113">
        <v>0</v>
      </c>
      <c r="H12" s="136"/>
      <c r="I12" s="118" t="s">
        <v>27</v>
      </c>
      <c r="J12" s="10" t="s">
        <v>10</v>
      </c>
      <c r="K12" s="112">
        <v>1</v>
      </c>
      <c r="L12" s="112">
        <v>5</v>
      </c>
      <c r="M12" s="112">
        <v>4</v>
      </c>
      <c r="N12" s="112">
        <v>4</v>
      </c>
      <c r="O12" s="113">
        <v>6</v>
      </c>
      <c r="P12" s="11" t="str">
        <f t="shared" si="0"/>
        <v>A3</v>
      </c>
      <c r="Q12" s="112">
        <v>3</v>
      </c>
      <c r="R12" s="112">
        <v>3</v>
      </c>
      <c r="S12" s="112">
        <v>4</v>
      </c>
      <c r="T12" s="112">
        <v>6</v>
      </c>
      <c r="U12" s="113">
        <v>5</v>
      </c>
      <c r="W12" s="6" t="s">
        <v>28</v>
      </c>
      <c r="X12" s="2"/>
      <c r="Y12" s="2"/>
      <c r="AA12" s="2"/>
      <c r="AB12" s="2"/>
    </row>
    <row r="13" spans="1:28" s="6" customFormat="1" ht="12" customHeight="1" x14ac:dyDescent="0.25">
      <c r="B13" s="10"/>
      <c r="C13" s="115"/>
      <c r="D13" s="111"/>
      <c r="E13" s="123"/>
      <c r="F13" s="115"/>
      <c r="G13" s="130"/>
      <c r="H13" s="136"/>
      <c r="I13" s="118" t="s">
        <v>29</v>
      </c>
      <c r="J13" s="10" t="s">
        <v>30</v>
      </c>
      <c r="K13" s="112">
        <v>5</v>
      </c>
      <c r="L13" s="112">
        <v>2</v>
      </c>
      <c r="M13" s="112">
        <v>1</v>
      </c>
      <c r="N13" s="112">
        <v>2</v>
      </c>
      <c r="O13" s="113">
        <v>6</v>
      </c>
      <c r="P13" s="11" t="str">
        <f t="shared" si="0"/>
        <v>A2</v>
      </c>
      <c r="Q13" s="112">
        <v>7</v>
      </c>
      <c r="R13" s="112">
        <v>1</v>
      </c>
      <c r="S13" s="112">
        <v>1</v>
      </c>
      <c r="T13" s="112">
        <v>1</v>
      </c>
      <c r="U13" s="113">
        <v>3</v>
      </c>
      <c r="W13" s="6" t="s">
        <v>31</v>
      </c>
      <c r="X13" s="2"/>
      <c r="Y13" s="2"/>
      <c r="AA13" s="2"/>
    </row>
    <row r="14" spans="1:28" s="6" customFormat="1" ht="12" customHeight="1" x14ac:dyDescent="0.25">
      <c r="B14" s="12" t="s">
        <v>30</v>
      </c>
      <c r="C14" s="115" t="str">
        <f t="array" ref="C14">INDEX($I$9:$I$20,MATCH(B14,$J$9:$J$20,0),0)</f>
        <v>Jars</v>
      </c>
      <c r="D14" s="111"/>
      <c r="E14" s="126" t="s">
        <v>32</v>
      </c>
      <c r="F14" s="115" t="str">
        <f t="array" ref="F14">INDEX($I$9:$I$20,MATCH(E14,$J$9:$J$20,0),0)</f>
        <v>Scattered Cash</v>
      </c>
      <c r="G14" s="130"/>
      <c r="H14" s="136"/>
      <c r="I14" s="118" t="s">
        <v>33</v>
      </c>
      <c r="J14" s="10" t="s">
        <v>34</v>
      </c>
      <c r="K14" s="112">
        <v>1</v>
      </c>
      <c r="L14" s="112">
        <v>10</v>
      </c>
      <c r="M14" s="112">
        <v>10</v>
      </c>
      <c r="N14" s="112">
        <v>9</v>
      </c>
      <c r="O14" s="113">
        <v>10</v>
      </c>
      <c r="P14" s="11" t="str">
        <f t="shared" si="0"/>
        <v>A1</v>
      </c>
      <c r="Q14" s="112">
        <v>1</v>
      </c>
      <c r="R14" s="112">
        <v>8</v>
      </c>
      <c r="S14" s="112">
        <v>10</v>
      </c>
      <c r="T14" s="112">
        <v>7</v>
      </c>
      <c r="U14" s="113">
        <v>3</v>
      </c>
      <c r="W14" s="6" t="s">
        <v>35</v>
      </c>
      <c r="X14" s="2"/>
      <c r="Y14" s="2"/>
      <c r="AA14" s="2"/>
    </row>
    <row r="15" spans="1:28" s="6" customFormat="1" ht="12" customHeight="1" x14ac:dyDescent="0.25">
      <c r="B15" s="139" t="str">
        <f>B14</f>
        <v>A2</v>
      </c>
      <c r="C15" s="116">
        <v>5</v>
      </c>
      <c r="D15" s="112">
        <v>400</v>
      </c>
      <c r="E15" s="138" t="str">
        <f>E14</f>
        <v>S</v>
      </c>
      <c r="F15" s="116">
        <v>5</v>
      </c>
      <c r="G15" s="113">
        <v>400</v>
      </c>
      <c r="H15" s="136"/>
      <c r="I15" s="118" t="s">
        <v>36</v>
      </c>
      <c r="J15" s="10" t="s">
        <v>37</v>
      </c>
      <c r="K15" s="112">
        <v>11</v>
      </c>
      <c r="L15" s="112">
        <v>2</v>
      </c>
      <c r="M15" s="112">
        <v>1</v>
      </c>
      <c r="N15" s="112">
        <v>10</v>
      </c>
      <c r="O15" s="113">
        <v>1</v>
      </c>
      <c r="P15" s="11" t="str">
        <f t="shared" si="0"/>
        <v>A</v>
      </c>
      <c r="Q15" s="112">
        <v>10</v>
      </c>
      <c r="R15" s="112">
        <v>1</v>
      </c>
      <c r="S15" s="112">
        <v>1</v>
      </c>
      <c r="T15" s="112">
        <v>6</v>
      </c>
      <c r="U15" s="113">
        <v>5</v>
      </c>
      <c r="W15" s="6" t="s">
        <v>38</v>
      </c>
      <c r="X15" s="2"/>
      <c r="Y15" s="2"/>
      <c r="Z15" s="2"/>
      <c r="AA15" s="2"/>
      <c r="AB15" s="2"/>
    </row>
    <row r="16" spans="1:28" s="6" customFormat="1" ht="12" customHeight="1" x14ac:dyDescent="0.25">
      <c r="B16" s="139" t="str">
        <f>B15</f>
        <v>A2</v>
      </c>
      <c r="C16" s="11">
        <v>4</v>
      </c>
      <c r="D16" s="112">
        <v>40</v>
      </c>
      <c r="E16" s="138" t="str">
        <f>E15</f>
        <v>S</v>
      </c>
      <c r="F16" s="11">
        <v>4</v>
      </c>
      <c r="G16" s="113">
        <v>30</v>
      </c>
      <c r="H16" s="136"/>
      <c r="I16" s="118" t="s">
        <v>39</v>
      </c>
      <c r="J16" s="10" t="s">
        <v>40</v>
      </c>
      <c r="K16" s="112">
        <v>1</v>
      </c>
      <c r="L16" s="112">
        <v>10</v>
      </c>
      <c r="M16" s="112">
        <v>10</v>
      </c>
      <c r="N16" s="112">
        <v>8</v>
      </c>
      <c r="O16" s="113">
        <v>10</v>
      </c>
      <c r="P16" s="11" t="str">
        <f t="shared" si="0"/>
        <v>K</v>
      </c>
      <c r="Q16" s="112">
        <v>2</v>
      </c>
      <c r="R16" s="112">
        <v>10</v>
      </c>
      <c r="S16" s="112">
        <v>10</v>
      </c>
      <c r="T16" s="112">
        <v>7</v>
      </c>
      <c r="U16" s="113">
        <v>9</v>
      </c>
      <c r="W16" s="2"/>
      <c r="X16" s="2"/>
      <c r="Y16" s="2"/>
      <c r="Z16" s="2"/>
    </row>
    <row r="17" spans="2:26" s="6" customFormat="1" ht="12" customHeight="1" x14ac:dyDescent="0.25">
      <c r="B17" s="139" t="str">
        <f>B16</f>
        <v>A2</v>
      </c>
      <c r="C17" s="116">
        <v>3</v>
      </c>
      <c r="D17" s="112">
        <v>20</v>
      </c>
      <c r="E17" s="138" t="str">
        <f>E16</f>
        <v>S</v>
      </c>
      <c r="F17" s="116">
        <v>3</v>
      </c>
      <c r="G17" s="113">
        <v>4</v>
      </c>
      <c r="H17" s="136"/>
      <c r="I17" s="118" t="s">
        <v>41</v>
      </c>
      <c r="J17" s="10" t="s">
        <v>42</v>
      </c>
      <c r="K17" s="112">
        <v>11</v>
      </c>
      <c r="L17" s="112">
        <v>2</v>
      </c>
      <c r="M17" s="112">
        <v>1</v>
      </c>
      <c r="N17" s="112">
        <v>1</v>
      </c>
      <c r="O17" s="113">
        <v>10</v>
      </c>
      <c r="P17" s="11" t="str">
        <f t="shared" si="0"/>
        <v>Q</v>
      </c>
      <c r="Q17" s="112">
        <v>9</v>
      </c>
      <c r="R17" s="112">
        <v>2</v>
      </c>
      <c r="S17" s="112">
        <v>1</v>
      </c>
      <c r="T17" s="112">
        <v>1</v>
      </c>
      <c r="U17" s="113">
        <v>10</v>
      </c>
      <c r="W17" s="2" t="s">
        <v>43</v>
      </c>
      <c r="X17" s="2"/>
      <c r="Y17" s="2"/>
      <c r="Z17" s="2"/>
    </row>
    <row r="18" spans="2:26" s="6" customFormat="1" ht="12" customHeight="1" x14ac:dyDescent="0.25">
      <c r="B18" s="139" t="str">
        <f>B17</f>
        <v>A2</v>
      </c>
      <c r="C18" s="11">
        <v>2</v>
      </c>
      <c r="D18" s="112">
        <v>0</v>
      </c>
      <c r="E18" s="138" t="str">
        <f>E17</f>
        <v>S</v>
      </c>
      <c r="F18" s="11">
        <v>2</v>
      </c>
      <c r="G18" s="113">
        <v>2</v>
      </c>
      <c r="H18" s="136"/>
      <c r="I18" s="118" t="s">
        <v>44</v>
      </c>
      <c r="J18" s="10" t="s">
        <v>45</v>
      </c>
      <c r="K18" s="112">
        <v>11</v>
      </c>
      <c r="L18" s="112">
        <v>1</v>
      </c>
      <c r="M18" s="112">
        <v>3</v>
      </c>
      <c r="N18" s="112">
        <v>1</v>
      </c>
      <c r="O18" s="113">
        <v>1</v>
      </c>
      <c r="P18" s="11" t="str">
        <f t="shared" si="0"/>
        <v>J</v>
      </c>
      <c r="Q18" s="112">
        <v>9</v>
      </c>
      <c r="R18" s="112">
        <v>1</v>
      </c>
      <c r="S18" s="112">
        <v>4</v>
      </c>
      <c r="T18" s="112">
        <v>1</v>
      </c>
      <c r="U18" s="113">
        <v>6</v>
      </c>
    </row>
    <row r="19" spans="2:26" s="6" customFormat="1" ht="12" customHeight="1" x14ac:dyDescent="0.25">
      <c r="B19" s="10"/>
      <c r="C19" s="116"/>
      <c r="D19" s="111"/>
      <c r="E19" s="123"/>
      <c r="F19" s="116"/>
      <c r="G19" s="130"/>
      <c r="H19" s="136"/>
      <c r="I19" s="119" t="s">
        <v>46</v>
      </c>
      <c r="J19" s="10" t="s">
        <v>47</v>
      </c>
      <c r="K19" s="112">
        <v>3</v>
      </c>
      <c r="L19" s="112">
        <v>10</v>
      </c>
      <c r="M19" s="112">
        <v>10</v>
      </c>
      <c r="N19" s="112">
        <v>6</v>
      </c>
      <c r="O19" s="113">
        <v>2</v>
      </c>
      <c r="P19" s="11" t="str">
        <f t="shared" si="0"/>
        <v>T</v>
      </c>
      <c r="Q19" s="112">
        <v>4</v>
      </c>
      <c r="R19" s="112">
        <v>10</v>
      </c>
      <c r="S19" s="112">
        <v>6</v>
      </c>
      <c r="T19" s="112">
        <v>10</v>
      </c>
      <c r="U19" s="113">
        <v>2</v>
      </c>
    </row>
    <row r="20" spans="2:26" s="6" customFormat="1" ht="12" customHeight="1" x14ac:dyDescent="0.25">
      <c r="B20" s="12" t="s">
        <v>34</v>
      </c>
      <c r="C20" s="115" t="str">
        <f t="array" ref="C20">INDEX($I$9:$I$20,MATCH(B20,$J$9:$J$20,0),0)</f>
        <v>Food</v>
      </c>
      <c r="D20" s="111"/>
      <c r="E20" s="126" t="s">
        <v>23</v>
      </c>
      <c r="F20" s="115" t="str">
        <f t="array" ref="F20">INDEX($I$9:$I$20,MATCH(E20,$J$9:$J$20,0),0)</f>
        <v>Blocks</v>
      </c>
      <c r="G20" s="130"/>
      <c r="H20" s="136"/>
      <c r="I20" s="118" t="s">
        <v>48</v>
      </c>
      <c r="J20" s="10" t="s">
        <v>32</v>
      </c>
      <c r="K20" s="112">
        <v>1</v>
      </c>
      <c r="L20" s="112">
        <v>1</v>
      </c>
      <c r="M20" s="112">
        <v>2</v>
      </c>
      <c r="N20" s="112">
        <v>1</v>
      </c>
      <c r="O20" s="113">
        <v>1</v>
      </c>
      <c r="P20" s="11" t="str">
        <f t="shared" si="0"/>
        <v>S</v>
      </c>
      <c r="Q20" s="112">
        <v>1</v>
      </c>
      <c r="R20" s="112">
        <v>1</v>
      </c>
      <c r="S20" s="112">
        <v>1</v>
      </c>
      <c r="T20" s="112">
        <v>1</v>
      </c>
      <c r="U20" s="113">
        <v>1</v>
      </c>
    </row>
    <row r="21" spans="2:26" s="6" customFormat="1" ht="12" customHeight="1" x14ac:dyDescent="0.25">
      <c r="B21" s="139" t="str">
        <f>B20</f>
        <v>A1</v>
      </c>
      <c r="C21" s="116">
        <v>5</v>
      </c>
      <c r="D21" s="112">
        <v>300</v>
      </c>
      <c r="E21" s="138" t="str">
        <f>E20</f>
        <v>G1</v>
      </c>
      <c r="F21" s="11">
        <v>5</v>
      </c>
      <c r="G21" s="113">
        <v>1000</v>
      </c>
      <c r="H21" s="2"/>
      <c r="I21" s="11"/>
      <c r="J21" s="5"/>
      <c r="K21" s="11"/>
      <c r="L21" s="11"/>
      <c r="M21" s="11"/>
      <c r="N21" s="11"/>
      <c r="O21" s="19"/>
      <c r="Q21" s="11"/>
      <c r="R21" s="11"/>
      <c r="S21" s="11"/>
      <c r="T21" s="11"/>
      <c r="U21" s="19"/>
    </row>
    <row r="22" spans="2:26" s="6" customFormat="1" ht="12" customHeight="1" x14ac:dyDescent="0.25">
      <c r="B22" s="139" t="str">
        <f>B21</f>
        <v>A1</v>
      </c>
      <c r="C22" s="11">
        <v>4</v>
      </c>
      <c r="D22" s="112">
        <v>30</v>
      </c>
      <c r="E22" s="138" t="str">
        <f>E21</f>
        <v>G1</v>
      </c>
      <c r="F22" s="11">
        <v>4</v>
      </c>
      <c r="G22" s="113">
        <v>50</v>
      </c>
      <c r="H22" s="2"/>
      <c r="I22" s="11"/>
      <c r="J22" s="12" t="s">
        <v>49</v>
      </c>
      <c r="K22" s="11">
        <f>SUM(K9:K20)</f>
        <v>51</v>
      </c>
      <c r="L22" s="11">
        <f>SUM(L9:L20)</f>
        <v>51</v>
      </c>
      <c r="M22" s="11">
        <f>SUM(M9:M20)</f>
        <v>51</v>
      </c>
      <c r="N22" s="11">
        <f>SUM(N9:N20)</f>
        <v>51</v>
      </c>
      <c r="O22" s="19">
        <f>SUM(O9:O20)</f>
        <v>51</v>
      </c>
      <c r="P22" s="9" t="s">
        <v>49</v>
      </c>
      <c r="Q22" s="11">
        <f>SUM(Q9:Q20)</f>
        <v>51</v>
      </c>
      <c r="R22" s="11">
        <f>SUM(R9:R20)</f>
        <v>51</v>
      </c>
      <c r="S22" s="11">
        <f>SUM(S9:S20)</f>
        <v>51</v>
      </c>
      <c r="T22" s="11">
        <f>SUM(T9:T20)</f>
        <v>51</v>
      </c>
      <c r="U22" s="19">
        <f>SUM(U9:U20)</f>
        <v>51</v>
      </c>
    </row>
    <row r="23" spans="2:26" s="6" customFormat="1" ht="12" customHeight="1" x14ac:dyDescent="0.25">
      <c r="B23" s="139" t="str">
        <f>B22</f>
        <v>A1</v>
      </c>
      <c r="C23" s="116">
        <v>3</v>
      </c>
      <c r="D23" s="112">
        <v>10</v>
      </c>
      <c r="E23" s="138" t="str">
        <f>E22</f>
        <v>G1</v>
      </c>
      <c r="F23" s="116">
        <v>3</v>
      </c>
      <c r="G23" s="113">
        <v>24</v>
      </c>
      <c r="H23" s="2"/>
      <c r="I23" s="11"/>
      <c r="J23" s="5"/>
      <c r="O23" s="7"/>
      <c r="P23" s="11"/>
      <c r="U23" s="7"/>
    </row>
    <row r="24" spans="2:26" s="6" customFormat="1" ht="12" customHeight="1" x14ac:dyDescent="0.25">
      <c r="B24" s="139" t="str">
        <f>B23</f>
        <v>A1</v>
      </c>
      <c r="C24" s="11">
        <v>2</v>
      </c>
      <c r="D24" s="112">
        <v>0</v>
      </c>
      <c r="E24" s="138" t="str">
        <f>E23</f>
        <v>G1</v>
      </c>
      <c r="F24" s="11">
        <v>2</v>
      </c>
      <c r="G24" s="113">
        <v>4</v>
      </c>
      <c r="H24" s="11"/>
      <c r="I24" s="11"/>
      <c r="J24" s="143" t="s">
        <v>50</v>
      </c>
      <c r="M24" s="114">
        <v>2</v>
      </c>
      <c r="O24" s="7"/>
      <c r="P24" s="101" t="s">
        <v>51</v>
      </c>
      <c r="S24" s="114">
        <v>3</v>
      </c>
      <c r="U24" s="7"/>
    </row>
    <row r="25" spans="2:26" s="6" customFormat="1" ht="12" customHeight="1" x14ac:dyDescent="0.25">
      <c r="B25" s="10"/>
      <c r="C25" s="116"/>
      <c r="D25" s="111"/>
      <c r="E25" s="123"/>
      <c r="F25" s="115"/>
      <c r="G25" s="130"/>
      <c r="H25" s="11"/>
      <c r="I25" s="11"/>
      <c r="J25" s="10"/>
      <c r="K25" s="11"/>
      <c r="L25" s="11"/>
      <c r="M25" s="11"/>
      <c r="N25" s="11"/>
      <c r="O25" s="19"/>
      <c r="P25" s="101" t="s">
        <v>52</v>
      </c>
      <c r="S25" s="114">
        <v>10</v>
      </c>
      <c r="U25" s="7"/>
    </row>
    <row r="26" spans="2:26" s="6" customFormat="1" ht="12" customHeight="1" x14ac:dyDescent="0.25">
      <c r="B26" s="12" t="s">
        <v>37</v>
      </c>
      <c r="C26" s="115" t="str">
        <f t="array" ref="C26">INDEX($I$9:$I$20,MATCH(B26,$J$9:$J$20,0),0)</f>
        <v>Ace</v>
      </c>
      <c r="D26" s="111"/>
      <c r="E26" s="126" t="s">
        <v>26</v>
      </c>
      <c r="F26" s="115" t="str">
        <f t="array" ref="F26">INDEX($I$9:$I$20,MATCH(E26,$J$9:$J$20,0),0)</f>
        <v>Paper</v>
      </c>
      <c r="G26" s="130"/>
      <c r="H26" s="11"/>
      <c r="I26" s="11"/>
      <c r="J26" s="5"/>
      <c r="O26" s="7"/>
      <c r="P26" s="11"/>
      <c r="U26" s="7"/>
    </row>
    <row r="27" spans="2:26" s="6" customFormat="1" ht="12" customHeight="1" x14ac:dyDescent="0.25">
      <c r="B27" s="139" t="str">
        <f>B26</f>
        <v>A</v>
      </c>
      <c r="C27" s="11">
        <v>5</v>
      </c>
      <c r="D27" s="112">
        <v>300</v>
      </c>
      <c r="E27" s="138" t="str">
        <f>E26</f>
        <v>G2</v>
      </c>
      <c r="F27" s="116">
        <v>5</v>
      </c>
      <c r="G27" s="113">
        <v>1000</v>
      </c>
      <c r="H27" s="11"/>
      <c r="I27" s="11"/>
      <c r="J27" s="5"/>
      <c r="O27" s="7"/>
      <c r="P27" s="11"/>
      <c r="U27" s="7"/>
    </row>
    <row r="28" spans="2:26" s="6" customFormat="1" ht="12" customHeight="1" x14ac:dyDescent="0.25">
      <c r="B28" s="139" t="str">
        <f>B27</f>
        <v>A</v>
      </c>
      <c r="C28" s="11">
        <v>4</v>
      </c>
      <c r="D28" s="112">
        <v>30</v>
      </c>
      <c r="E28" s="138" t="str">
        <f>E27</f>
        <v>G2</v>
      </c>
      <c r="F28" s="11">
        <v>4</v>
      </c>
      <c r="G28" s="113">
        <v>50</v>
      </c>
      <c r="H28" s="9"/>
      <c r="I28" s="11"/>
      <c r="J28" s="5"/>
      <c r="O28" s="7"/>
      <c r="P28" s="9"/>
      <c r="U28" s="7"/>
    </row>
    <row r="29" spans="2:26" s="6" customFormat="1" ht="12" customHeight="1" x14ac:dyDescent="0.25">
      <c r="B29" s="139" t="str">
        <f>B28</f>
        <v>A</v>
      </c>
      <c r="C29" s="116">
        <v>3</v>
      </c>
      <c r="D29" s="112">
        <v>10</v>
      </c>
      <c r="E29" s="138" t="str">
        <f>E28</f>
        <v>G2</v>
      </c>
      <c r="F29" s="116">
        <v>3</v>
      </c>
      <c r="G29" s="113">
        <v>24</v>
      </c>
      <c r="H29" s="11"/>
      <c r="I29" s="11"/>
      <c r="J29" s="12"/>
      <c r="O29" s="7"/>
      <c r="P29" s="9"/>
      <c r="U29" s="7"/>
    </row>
    <row r="30" spans="2:26" s="6" customFormat="1" ht="12" customHeight="1" x14ac:dyDescent="0.25">
      <c r="B30" s="139" t="str">
        <f>B29</f>
        <v>A</v>
      </c>
      <c r="C30" s="116">
        <v>2</v>
      </c>
      <c r="D30" s="112">
        <v>0</v>
      </c>
      <c r="E30" s="138" t="str">
        <f>E29</f>
        <v>G2</v>
      </c>
      <c r="F30" s="11">
        <v>2</v>
      </c>
      <c r="G30" s="113">
        <v>0</v>
      </c>
      <c r="H30" s="11"/>
      <c r="I30" s="11"/>
      <c r="J30" s="13" t="s">
        <v>53</v>
      </c>
      <c r="K30" s="81" t="s">
        <v>54</v>
      </c>
      <c r="L30" s="82">
        <f>'Base Game Calculations'!E85</f>
        <v>10.62280490799246</v>
      </c>
      <c r="M30" s="6" t="s">
        <v>55</v>
      </c>
      <c r="O30" s="7"/>
      <c r="P30" s="117" t="s">
        <v>53</v>
      </c>
      <c r="Q30" s="81" t="s">
        <v>54</v>
      </c>
      <c r="R30" s="82">
        <f>'Feature Game Calculations'!E85</f>
        <v>148.51293517561984</v>
      </c>
      <c r="S30" s="6" t="s">
        <v>56</v>
      </c>
      <c r="U30" s="7"/>
    </row>
    <row r="31" spans="2:26" s="6" customFormat="1" ht="12" customHeight="1" x14ac:dyDescent="0.25">
      <c r="B31" s="10"/>
      <c r="D31" s="111"/>
      <c r="E31" s="121"/>
      <c r="F31" s="11"/>
      <c r="G31" s="19"/>
      <c r="H31" s="11"/>
      <c r="I31" s="11"/>
      <c r="J31" s="13"/>
      <c r="K31" s="81" t="s">
        <v>54</v>
      </c>
      <c r="L31" s="82">
        <f>'Base Game Calculations'!E86</f>
        <v>44.528700906344412</v>
      </c>
      <c r="M31" s="6" t="s">
        <v>57</v>
      </c>
      <c r="O31" s="7"/>
      <c r="P31" s="117"/>
      <c r="Q31" s="81" t="s">
        <v>54</v>
      </c>
      <c r="R31" s="82">
        <f>'Feature Game Calculations'!E86</f>
        <v>233.92430560075502</v>
      </c>
      <c r="S31" s="6" t="s">
        <v>58</v>
      </c>
      <c r="U31" s="7"/>
    </row>
    <row r="32" spans="2:26" s="6" customFormat="1" ht="12" customHeight="1" x14ac:dyDescent="0.25">
      <c r="B32" s="12" t="s">
        <v>40</v>
      </c>
      <c r="C32" s="115" t="str">
        <f t="array" ref="C32">INDEX($I$9:$I$20,MATCH(B32,$J$9:$J$20,0),0)</f>
        <v>King</v>
      </c>
      <c r="D32" s="111"/>
      <c r="E32" s="122"/>
      <c r="F32" s="9"/>
      <c r="G32" s="19"/>
      <c r="H32" s="11"/>
      <c r="I32" s="11"/>
      <c r="J32" s="13"/>
      <c r="K32" s="81" t="s">
        <v>54</v>
      </c>
      <c r="L32" s="82">
        <f>'Base Game Calculations'!E87</f>
        <v>13.950957159705661</v>
      </c>
      <c r="M32" s="6" t="s">
        <v>59</v>
      </c>
      <c r="O32" s="7"/>
      <c r="P32" s="117"/>
      <c r="Q32" s="81"/>
      <c r="R32" s="82"/>
      <c r="U32" s="7"/>
    </row>
    <row r="33" spans="2:21" s="6" customFormat="1" ht="12" customHeight="1" x14ac:dyDescent="0.25">
      <c r="B33" s="139" t="str">
        <f>B32</f>
        <v>K</v>
      </c>
      <c r="C33" s="116">
        <v>5</v>
      </c>
      <c r="D33" s="112">
        <v>250</v>
      </c>
      <c r="E33" s="121"/>
      <c r="F33" s="11"/>
      <c r="G33" s="18"/>
      <c r="H33" s="9"/>
      <c r="I33" s="11"/>
      <c r="J33" s="13"/>
      <c r="K33" s="81"/>
      <c r="L33" s="82"/>
      <c r="O33" s="7"/>
      <c r="P33" s="117"/>
      <c r="Q33" s="81"/>
      <c r="R33" s="82"/>
      <c r="U33" s="7"/>
    </row>
    <row r="34" spans="2:21" s="6" customFormat="1" ht="12" customHeight="1" x14ac:dyDescent="0.25">
      <c r="B34" s="139" t="str">
        <f>B33</f>
        <v>K</v>
      </c>
      <c r="C34" s="116">
        <v>4</v>
      </c>
      <c r="D34" s="112">
        <v>24</v>
      </c>
      <c r="E34" s="121"/>
      <c r="F34" s="11"/>
      <c r="G34" s="130"/>
      <c r="H34" s="111"/>
      <c r="I34" s="11"/>
      <c r="J34" s="13" t="s">
        <v>60</v>
      </c>
      <c r="K34" s="81"/>
      <c r="L34" s="82"/>
      <c r="N34" s="95">
        <f>'Base Game Calculations'!C84</f>
        <v>0.16661852961017048</v>
      </c>
      <c r="O34" s="7"/>
      <c r="P34" s="117"/>
      <c r="Q34" s="81"/>
      <c r="R34" s="82"/>
      <c r="U34" s="7"/>
    </row>
    <row r="35" spans="2:21" s="6" customFormat="1" ht="12" customHeight="1" x14ac:dyDescent="0.25">
      <c r="B35" s="139" t="str">
        <f>B34</f>
        <v>K</v>
      </c>
      <c r="C35" s="116">
        <v>3</v>
      </c>
      <c r="D35" s="112">
        <v>8</v>
      </c>
      <c r="E35" s="121"/>
      <c r="F35" s="11"/>
      <c r="G35" s="130"/>
      <c r="H35" s="111"/>
      <c r="I35" s="11"/>
      <c r="J35" s="5"/>
      <c r="K35" s="81"/>
      <c r="L35" s="11"/>
      <c r="O35" s="7"/>
      <c r="Q35" s="81"/>
      <c r="R35" s="11"/>
      <c r="U35" s="7"/>
    </row>
    <row r="36" spans="2:21" s="6" customFormat="1" ht="12" customHeight="1" x14ac:dyDescent="0.25">
      <c r="B36" s="139" t="str">
        <f>B35</f>
        <v>K</v>
      </c>
      <c r="C36" s="116">
        <v>2</v>
      </c>
      <c r="D36" s="112">
        <v>0</v>
      </c>
      <c r="E36" s="121"/>
      <c r="F36" s="11"/>
      <c r="G36" s="19"/>
      <c r="H36" s="11"/>
      <c r="I36" s="11"/>
      <c r="J36" s="13" t="s">
        <v>61</v>
      </c>
      <c r="K36" s="6" t="s">
        <v>62</v>
      </c>
      <c r="L36" s="144">
        <f>L37+L38</f>
        <v>0.9539973484634946</v>
      </c>
      <c r="O36" s="7"/>
      <c r="P36" s="117"/>
      <c r="Q36" s="81"/>
      <c r="R36" s="83"/>
      <c r="U36" s="7"/>
    </row>
    <row r="37" spans="2:21" s="6" customFormat="1" ht="12" customHeight="1" x14ac:dyDescent="0.25">
      <c r="B37" s="10"/>
      <c r="C37" s="116"/>
      <c r="D37" s="111"/>
      <c r="E37" s="123"/>
      <c r="F37" s="111"/>
      <c r="G37" s="130"/>
      <c r="H37" s="111"/>
      <c r="I37" s="11"/>
      <c r="J37" s="13"/>
      <c r="K37" s="81" t="s">
        <v>63</v>
      </c>
      <c r="L37" s="83">
        <f>'Base Game Calculations'!C89</f>
        <v>0.76701326419729199</v>
      </c>
      <c r="O37" s="7"/>
      <c r="P37" s="117"/>
      <c r="Q37" s="81"/>
      <c r="R37" s="83"/>
      <c r="U37" s="7"/>
    </row>
    <row r="38" spans="2:21" s="6" customFormat="1" ht="12" customHeight="1" x14ac:dyDescent="0.25">
      <c r="B38" s="12" t="s">
        <v>42</v>
      </c>
      <c r="C38" s="115" t="str">
        <f t="array" ref="C38">INDEX($I$9:$I$20,MATCH(B38,$J$9:$J$20,0),0)</f>
        <v>Queen</v>
      </c>
      <c r="D38" s="111"/>
      <c r="E38" s="123"/>
      <c r="F38" s="11"/>
      <c r="G38" s="7"/>
      <c r="I38" s="11"/>
      <c r="J38" s="13"/>
      <c r="K38" s="81" t="s">
        <v>64</v>
      </c>
      <c r="L38" s="83">
        <f>'Feature Game Calculations'!C91</f>
        <v>0.18698408426620264</v>
      </c>
      <c r="O38" s="7"/>
      <c r="P38" s="117"/>
      <c r="R38" s="17"/>
      <c r="U38" s="7"/>
    </row>
    <row r="39" spans="2:21" s="6" customFormat="1" ht="12" customHeight="1" x14ac:dyDescent="0.25">
      <c r="B39" s="139" t="str">
        <f>B38</f>
        <v>Q</v>
      </c>
      <c r="C39" s="116">
        <v>5</v>
      </c>
      <c r="D39" s="112">
        <v>250</v>
      </c>
      <c r="E39" s="123"/>
      <c r="F39" s="111"/>
      <c r="G39" s="7"/>
      <c r="J39" s="13"/>
      <c r="K39" s="81"/>
      <c r="L39" s="83"/>
      <c r="O39" s="7"/>
      <c r="P39" s="117"/>
      <c r="R39" s="17"/>
      <c r="U39" s="7"/>
    </row>
    <row r="40" spans="2:21" s="6" customFormat="1" ht="12" customHeight="1" x14ac:dyDescent="0.25">
      <c r="B40" s="139" t="str">
        <f>B39</f>
        <v>Q</v>
      </c>
      <c r="C40" s="116">
        <v>4</v>
      </c>
      <c r="D40" s="112">
        <v>24</v>
      </c>
      <c r="E40" s="123"/>
      <c r="G40" s="7"/>
      <c r="J40" s="13" t="s">
        <v>65</v>
      </c>
      <c r="L40" s="97">
        <f>'Standard Dev'!D110</f>
        <v>15.687514095196679</v>
      </c>
      <c r="M40" s="98"/>
      <c r="O40" s="7"/>
      <c r="P40" s="117"/>
      <c r="R40" s="73"/>
      <c r="U40" s="7"/>
    </row>
    <row r="41" spans="2:21" s="6" customFormat="1" ht="12" customHeight="1" thickBot="1" x14ac:dyDescent="0.3">
      <c r="B41" s="139" t="str">
        <f>B40</f>
        <v>Q</v>
      </c>
      <c r="C41" s="116">
        <v>3</v>
      </c>
      <c r="D41" s="112">
        <v>8</v>
      </c>
      <c r="E41" s="120"/>
      <c r="G41" s="7"/>
      <c r="J41" s="85"/>
      <c r="K41" s="14"/>
      <c r="L41" s="14"/>
      <c r="M41" s="110"/>
      <c r="N41" s="14"/>
      <c r="O41" s="15"/>
      <c r="P41" s="140"/>
      <c r="Q41" s="14"/>
      <c r="R41" s="14"/>
      <c r="S41" s="86"/>
      <c r="T41" s="14"/>
      <c r="U41" s="15"/>
    </row>
    <row r="42" spans="2:21" s="6" customFormat="1" ht="12" customHeight="1" x14ac:dyDescent="0.25">
      <c r="B42" s="139" t="str">
        <f>B41</f>
        <v>Q</v>
      </c>
      <c r="C42" s="116">
        <v>2</v>
      </c>
      <c r="D42" s="112">
        <v>0</v>
      </c>
      <c r="E42" s="120"/>
      <c r="G42" s="7"/>
    </row>
    <row r="43" spans="2:21" s="6" customFormat="1" ht="12" customHeight="1" x14ac:dyDescent="0.25">
      <c r="B43" s="12"/>
      <c r="D43" s="111"/>
      <c r="E43" s="120"/>
      <c r="G43" s="7"/>
    </row>
    <row r="44" spans="2:21" s="6" customFormat="1" ht="12" customHeight="1" x14ac:dyDescent="0.25">
      <c r="B44" s="12" t="s">
        <v>45</v>
      </c>
      <c r="C44" s="115" t="str">
        <f t="array" ref="C44">INDEX($I$9:$I$20,MATCH(B44,$J$9:$J$20,0),0)</f>
        <v>Jack</v>
      </c>
      <c r="D44" s="111"/>
      <c r="E44" s="120"/>
      <c r="G44" s="7"/>
    </row>
    <row r="45" spans="2:21" s="6" customFormat="1" ht="12" customHeight="1" x14ac:dyDescent="0.25">
      <c r="B45" s="139" t="str">
        <f>B44</f>
        <v>J</v>
      </c>
      <c r="C45" s="116">
        <v>5</v>
      </c>
      <c r="D45" s="112">
        <v>200</v>
      </c>
      <c r="E45" s="120"/>
      <c r="G45" s="7"/>
    </row>
    <row r="46" spans="2:21" s="6" customFormat="1" ht="12" customHeight="1" x14ac:dyDescent="0.25">
      <c r="B46" s="139" t="str">
        <f>B45</f>
        <v>J</v>
      </c>
      <c r="C46" s="116">
        <v>4</v>
      </c>
      <c r="D46" s="112">
        <v>20</v>
      </c>
      <c r="E46" s="123"/>
      <c r="F46" s="11"/>
      <c r="G46" s="19"/>
      <c r="H46" s="11"/>
      <c r="I46" s="11"/>
    </row>
    <row r="47" spans="2:21" s="6" customFormat="1" ht="12" customHeight="1" x14ac:dyDescent="0.25">
      <c r="B47" s="139" t="str">
        <f>B46</f>
        <v>J</v>
      </c>
      <c r="C47" s="116">
        <v>3</v>
      </c>
      <c r="D47" s="112">
        <v>6</v>
      </c>
      <c r="E47" s="121"/>
      <c r="F47" s="11"/>
      <c r="G47" s="19"/>
      <c r="H47" s="11"/>
      <c r="I47" s="11"/>
    </row>
    <row r="48" spans="2:21" ht="11.5" x14ac:dyDescent="0.25">
      <c r="B48" s="139" t="str">
        <f>B47</f>
        <v>J</v>
      </c>
      <c r="C48" s="116">
        <v>2</v>
      </c>
      <c r="D48" s="112">
        <v>0</v>
      </c>
      <c r="E48" s="124"/>
      <c r="G48" s="131"/>
    </row>
    <row r="49" spans="2:7" ht="11.5" x14ac:dyDescent="0.25">
      <c r="B49" s="10"/>
      <c r="D49" s="111"/>
      <c r="E49" s="124"/>
      <c r="G49" s="131"/>
    </row>
    <row r="50" spans="2:7" ht="11.5" x14ac:dyDescent="0.25">
      <c r="B50" s="12" t="s">
        <v>47</v>
      </c>
      <c r="C50" s="115" t="str">
        <f t="array" ref="C50">INDEX($I$9:$I$20,MATCH(B50,$J$9:$J$20,0),0)</f>
        <v>Ten</v>
      </c>
      <c r="D50" s="111"/>
      <c r="E50" s="124"/>
      <c r="G50" s="131"/>
    </row>
    <row r="51" spans="2:7" ht="11.5" x14ac:dyDescent="0.25">
      <c r="B51" s="139" t="str">
        <f>B50</f>
        <v>T</v>
      </c>
      <c r="C51" s="116">
        <v>5</v>
      </c>
      <c r="D51" s="112">
        <v>200</v>
      </c>
      <c r="E51" s="124"/>
      <c r="G51" s="131"/>
    </row>
    <row r="52" spans="2:7" ht="11.5" x14ac:dyDescent="0.25">
      <c r="B52" s="139" t="str">
        <f>B51</f>
        <v>T</v>
      </c>
      <c r="C52" s="116">
        <v>4</v>
      </c>
      <c r="D52" s="112">
        <v>20</v>
      </c>
      <c r="E52" s="124"/>
      <c r="G52" s="131"/>
    </row>
    <row r="53" spans="2:7" ht="11.5" x14ac:dyDescent="0.25">
      <c r="B53" s="139" t="str">
        <f>B52</f>
        <v>T</v>
      </c>
      <c r="C53" s="116">
        <v>3</v>
      </c>
      <c r="D53" s="112">
        <v>6</v>
      </c>
      <c r="E53" s="124"/>
      <c r="G53" s="131"/>
    </row>
    <row r="54" spans="2:7" ht="11.5" x14ac:dyDescent="0.25">
      <c r="B54" s="139" t="str">
        <f>B53</f>
        <v>T</v>
      </c>
      <c r="C54" s="116">
        <v>2</v>
      </c>
      <c r="D54" s="112">
        <v>0</v>
      </c>
      <c r="E54" s="124"/>
      <c r="G54" s="131"/>
    </row>
    <row r="55" spans="2:7" ht="10.5" thickBot="1" x14ac:dyDescent="0.25">
      <c r="B55" s="132"/>
      <c r="C55" s="133"/>
      <c r="D55" s="133"/>
      <c r="E55" s="135"/>
      <c r="F55" s="133"/>
      <c r="G55" s="134"/>
    </row>
  </sheetData>
  <mergeCells count="3">
    <mergeCell ref="P6:U6"/>
    <mergeCell ref="J6:O6"/>
    <mergeCell ref="B6:G6"/>
  </mergeCells>
  <phoneticPr fontId="0" type="noConversion"/>
  <printOptions horizontalCentered="1"/>
  <pageMargins left="0" right="0" top="0.22" bottom="0" header="0" footer="0"/>
  <pageSetup paperSize="9" scale="75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T106"/>
  <sheetViews>
    <sheetView tabSelected="1" zoomScale="70" zoomScaleNormal="70" workbookViewId="0">
      <selection activeCell="G4" sqref="G4"/>
    </sheetView>
  </sheetViews>
  <sheetFormatPr defaultRowHeight="12.75" customHeight="1" x14ac:dyDescent="0.25"/>
  <cols>
    <col min="1" max="1" width="16.54296875" customWidth="1"/>
    <col min="2" max="2" width="21.54296875" customWidth="1"/>
    <col min="3" max="3" width="19.81640625" customWidth="1"/>
    <col min="4" max="4" width="18.453125" customWidth="1"/>
    <col min="5" max="6" width="12.7265625" customWidth="1"/>
    <col min="7" max="7" width="8" customWidth="1"/>
    <col min="8" max="8" width="14.1796875" customWidth="1"/>
    <col min="9" max="9" width="15.7265625" customWidth="1"/>
    <col min="10" max="13" width="14.1796875" customWidth="1"/>
    <col min="15" max="16" width="9.26953125" bestFit="1" customWidth="1"/>
    <col min="17" max="17" width="9.26953125" customWidth="1"/>
    <col min="18" max="20" width="9.26953125" bestFit="1" customWidth="1"/>
  </cols>
  <sheetData>
    <row r="1" spans="1:13" s="2" customFormat="1" ht="12.75" customHeight="1" x14ac:dyDescent="0.3">
      <c r="A1" s="145" t="s">
        <v>0</v>
      </c>
      <c r="B1" s="4" t="str">
        <f>'Game summary'!D3</f>
        <v>Mad Mad Monkey</v>
      </c>
      <c r="K1" s="147"/>
      <c r="L1" s="147"/>
    </row>
    <row r="2" spans="1:13" s="2" customFormat="1" ht="12.75" customHeight="1" x14ac:dyDescent="0.3">
      <c r="A2" s="145" t="s">
        <v>2</v>
      </c>
      <c r="B2" s="4" t="str">
        <f>'Game summary'!D4</f>
        <v xml:space="preserve">5 x 4 layout (5 reel, 4 slots) </v>
      </c>
      <c r="K2" s="147"/>
      <c r="L2" s="147"/>
    </row>
    <row r="3" spans="1:13" s="2" customFormat="1" ht="12.75" customHeight="1" x14ac:dyDescent="0.3">
      <c r="A3" s="146"/>
      <c r="B3" s="4"/>
      <c r="E3" s="145"/>
      <c r="F3" s="145"/>
      <c r="G3" s="145"/>
      <c r="H3" s="145"/>
      <c r="I3" s="145"/>
      <c r="J3" s="147"/>
      <c r="K3" s="145"/>
      <c r="L3" s="145"/>
    </row>
    <row r="4" spans="1:13" s="2" customFormat="1" ht="12.75" customHeight="1" x14ac:dyDescent="0.3">
      <c r="A4" s="146"/>
      <c r="B4" s="49"/>
    </row>
    <row r="5" spans="1:13" s="2" customFormat="1" ht="12.75" customHeight="1" x14ac:dyDescent="0.3">
      <c r="A5" s="146"/>
      <c r="B5" s="1"/>
    </row>
    <row r="6" spans="1:13" s="2" customFormat="1" ht="12.75" customHeight="1" thickBot="1" x14ac:dyDescent="0.35">
      <c r="A6" s="146"/>
      <c r="B6" s="77"/>
      <c r="C6" s="77"/>
      <c r="D6" s="77"/>
      <c r="E6" s="77"/>
      <c r="F6" s="77"/>
    </row>
    <row r="7" spans="1:13" ht="12.75" customHeight="1" x14ac:dyDescent="0.3">
      <c r="A7" s="40" t="s">
        <v>66</v>
      </c>
      <c r="B7" s="78"/>
      <c r="C7" s="78"/>
      <c r="D7" s="78"/>
      <c r="E7" s="78"/>
      <c r="F7" s="79"/>
    </row>
    <row r="8" spans="1:13" ht="12.75" customHeight="1" x14ac:dyDescent="0.3">
      <c r="A8" s="43" t="s">
        <v>13</v>
      </c>
      <c r="B8" s="20" t="s">
        <v>14</v>
      </c>
      <c r="C8" s="20" t="s">
        <v>15</v>
      </c>
      <c r="D8" s="20" t="s">
        <v>16</v>
      </c>
      <c r="E8" s="20" t="s">
        <v>17</v>
      </c>
      <c r="F8" s="44" t="s">
        <v>18</v>
      </c>
    </row>
    <row r="9" spans="1:13" ht="12.75" customHeight="1" x14ac:dyDescent="0.25">
      <c r="A9" s="35" t="str">
        <f>'Game summary'!J9</f>
        <v>W</v>
      </c>
      <c r="B9" s="16">
        <f>'Game summary'!K9</f>
        <v>0</v>
      </c>
      <c r="C9" s="16">
        <f>'Game summary'!L9</f>
        <v>4</v>
      </c>
      <c r="D9" s="16">
        <f>'Game summary'!M9</f>
        <v>4</v>
      </c>
      <c r="E9" s="16">
        <f>'Game summary'!N9</f>
        <v>4</v>
      </c>
      <c r="F9" s="36">
        <f>'Game summary'!O9</f>
        <v>0</v>
      </c>
      <c r="G9" t="s">
        <v>67</v>
      </c>
      <c r="I9" s="16"/>
      <c r="J9" s="52"/>
      <c r="K9" s="16"/>
      <c r="L9" s="16"/>
      <c r="M9" s="16"/>
    </row>
    <row r="10" spans="1:13" ht="12.75" customHeight="1" x14ac:dyDescent="0.25">
      <c r="A10" s="35" t="str">
        <f>'Game summary'!J10</f>
        <v>G1</v>
      </c>
      <c r="B10" s="16">
        <f>'Game summary'!K10</f>
        <v>2</v>
      </c>
      <c r="C10" s="16">
        <f>'Game summary'!L10</f>
        <v>2</v>
      </c>
      <c r="D10" s="16">
        <f>'Game summary'!M10</f>
        <v>4</v>
      </c>
      <c r="E10" s="16">
        <f>'Game summary'!N10</f>
        <v>3</v>
      </c>
      <c r="F10" s="36">
        <f>'Game summary'!O10</f>
        <v>3</v>
      </c>
      <c r="I10" s="16"/>
      <c r="J10" s="52"/>
      <c r="K10" s="16"/>
      <c r="L10" s="16"/>
      <c r="M10" s="16"/>
    </row>
    <row r="11" spans="1:13" ht="12.75" customHeight="1" x14ac:dyDescent="0.25">
      <c r="A11" s="35" t="str">
        <f>'Game summary'!J11</f>
        <v>G2</v>
      </c>
      <c r="B11" s="16">
        <f>'Game summary'!K11</f>
        <v>4</v>
      </c>
      <c r="C11" s="16">
        <f>'Game summary'!L11</f>
        <v>2</v>
      </c>
      <c r="D11" s="16">
        <f>'Game summary'!M11</f>
        <v>1</v>
      </c>
      <c r="E11" s="16">
        <f>'Game summary'!N11</f>
        <v>2</v>
      </c>
      <c r="F11" s="36">
        <f>'Game summary'!O11</f>
        <v>1</v>
      </c>
      <c r="H11" s="51"/>
      <c r="I11" s="16"/>
      <c r="J11" s="52"/>
      <c r="K11" s="16"/>
      <c r="L11" s="16"/>
      <c r="M11" s="16"/>
    </row>
    <row r="12" spans="1:13" ht="12.75" customHeight="1" x14ac:dyDescent="0.25">
      <c r="A12" s="35" t="str">
        <f>'Game summary'!J12</f>
        <v>A3</v>
      </c>
      <c r="B12" s="16">
        <f>'Game summary'!K12</f>
        <v>1</v>
      </c>
      <c r="C12" s="16">
        <f>'Game summary'!L12</f>
        <v>5</v>
      </c>
      <c r="D12" s="16">
        <f>'Game summary'!M12</f>
        <v>4</v>
      </c>
      <c r="E12" s="16">
        <f>'Game summary'!N12</f>
        <v>4</v>
      </c>
      <c r="F12" s="36">
        <f>'Game summary'!O12</f>
        <v>6</v>
      </c>
      <c r="H12" s="54"/>
      <c r="I12" s="16"/>
      <c r="J12" s="52"/>
      <c r="K12" s="16"/>
      <c r="L12" s="16"/>
      <c r="M12" s="16"/>
    </row>
    <row r="13" spans="1:13" ht="12.75" customHeight="1" x14ac:dyDescent="0.25">
      <c r="A13" s="35" t="str">
        <f>'Game summary'!J13</f>
        <v>A2</v>
      </c>
      <c r="B13" s="16">
        <f>'Game summary'!K13</f>
        <v>5</v>
      </c>
      <c r="C13" s="16">
        <f>'Game summary'!L13</f>
        <v>2</v>
      </c>
      <c r="D13" s="16">
        <f>'Game summary'!M13</f>
        <v>1</v>
      </c>
      <c r="E13" s="16">
        <f>'Game summary'!N13</f>
        <v>2</v>
      </c>
      <c r="F13" s="36">
        <f>'Game summary'!O13</f>
        <v>6</v>
      </c>
      <c r="H13" s="148"/>
      <c r="I13" s="52"/>
      <c r="J13" s="52"/>
      <c r="K13" s="16"/>
      <c r="L13" s="16"/>
      <c r="M13" s="16"/>
    </row>
    <row r="14" spans="1:13" ht="12.75" customHeight="1" x14ac:dyDescent="0.25">
      <c r="A14" s="35" t="str">
        <f>'Game summary'!J14</f>
        <v>A1</v>
      </c>
      <c r="B14" s="16">
        <f>'Game summary'!K14</f>
        <v>1</v>
      </c>
      <c r="C14" s="16">
        <f>'Game summary'!L14</f>
        <v>10</v>
      </c>
      <c r="D14" s="16">
        <f>'Game summary'!M14</f>
        <v>10</v>
      </c>
      <c r="E14" s="16">
        <f>'Game summary'!N14</f>
        <v>9</v>
      </c>
      <c r="F14" s="36">
        <f>'Game summary'!O14</f>
        <v>10</v>
      </c>
      <c r="H14" s="84"/>
      <c r="I14" s="16"/>
      <c r="J14" s="52"/>
      <c r="K14" s="16"/>
      <c r="L14" s="16"/>
      <c r="M14" s="16"/>
    </row>
    <row r="15" spans="1:13" ht="12.75" customHeight="1" x14ac:dyDescent="0.25">
      <c r="A15" s="35" t="str">
        <f>'Game summary'!J15</f>
        <v>A</v>
      </c>
      <c r="B15" s="16">
        <f>'Game summary'!K15</f>
        <v>11</v>
      </c>
      <c r="C15" s="16">
        <f>'Game summary'!L15</f>
        <v>2</v>
      </c>
      <c r="D15" s="16">
        <f>'Game summary'!M15</f>
        <v>1</v>
      </c>
      <c r="E15" s="16">
        <f>'Game summary'!N15</f>
        <v>10</v>
      </c>
      <c r="F15" s="36">
        <f>'Game summary'!O15</f>
        <v>1</v>
      </c>
      <c r="H15" s="16"/>
      <c r="I15" s="16"/>
      <c r="J15" s="52"/>
      <c r="K15" s="16"/>
      <c r="L15" s="16"/>
      <c r="M15" s="16"/>
    </row>
    <row r="16" spans="1:13" ht="12.75" customHeight="1" x14ac:dyDescent="0.25">
      <c r="A16" s="35" t="str">
        <f>'Game summary'!J16</f>
        <v>K</v>
      </c>
      <c r="B16" s="16">
        <f>'Game summary'!K16</f>
        <v>1</v>
      </c>
      <c r="C16" s="16">
        <f>'Game summary'!L16</f>
        <v>10</v>
      </c>
      <c r="D16" s="16">
        <f>'Game summary'!M16</f>
        <v>10</v>
      </c>
      <c r="E16" s="16">
        <f>'Game summary'!N16</f>
        <v>8</v>
      </c>
      <c r="F16" s="36">
        <f>'Game summary'!O16</f>
        <v>10</v>
      </c>
      <c r="H16" s="54"/>
      <c r="I16" s="16"/>
      <c r="J16" s="52"/>
      <c r="K16" s="16"/>
      <c r="L16" s="16"/>
      <c r="M16" s="16"/>
    </row>
    <row r="17" spans="1:13" ht="12.75" customHeight="1" x14ac:dyDescent="0.3">
      <c r="A17" s="35" t="str">
        <f>'Game summary'!J17</f>
        <v>Q</v>
      </c>
      <c r="B17" s="16">
        <f>'Game summary'!K17</f>
        <v>11</v>
      </c>
      <c r="C17" s="16">
        <f>'Game summary'!L17</f>
        <v>2</v>
      </c>
      <c r="D17" s="16">
        <f>'Game summary'!M17</f>
        <v>1</v>
      </c>
      <c r="E17" s="16">
        <f>'Game summary'!N17</f>
        <v>1</v>
      </c>
      <c r="F17" s="36">
        <f>'Game summary'!O17</f>
        <v>10</v>
      </c>
      <c r="H17" s="76"/>
      <c r="I17" s="16"/>
      <c r="J17" s="52"/>
      <c r="K17" s="16"/>
      <c r="L17" s="16"/>
      <c r="M17" s="16"/>
    </row>
    <row r="18" spans="1:13" ht="12.75" customHeight="1" x14ac:dyDescent="0.25">
      <c r="A18" s="35" t="str">
        <f>'Game summary'!J18</f>
        <v>J</v>
      </c>
      <c r="B18" s="16">
        <f>'Game summary'!K18</f>
        <v>11</v>
      </c>
      <c r="C18" s="16">
        <f>'Game summary'!L18</f>
        <v>1</v>
      </c>
      <c r="D18" s="16">
        <f>'Game summary'!M18</f>
        <v>3</v>
      </c>
      <c r="E18" s="16">
        <f>'Game summary'!N18</f>
        <v>1</v>
      </c>
      <c r="F18" s="36">
        <f>'Game summary'!O18</f>
        <v>1</v>
      </c>
      <c r="H18" s="51"/>
      <c r="I18" s="16"/>
      <c r="J18" s="52"/>
      <c r="K18" s="16"/>
      <c r="L18" s="16"/>
      <c r="M18" s="16"/>
    </row>
    <row r="19" spans="1:13" ht="12.75" customHeight="1" x14ac:dyDescent="0.25">
      <c r="A19" s="35" t="str">
        <f>'Game summary'!J19</f>
        <v>T</v>
      </c>
      <c r="B19" s="16">
        <f>'Game summary'!K19</f>
        <v>3</v>
      </c>
      <c r="C19" s="16">
        <f>'Game summary'!L19</f>
        <v>10</v>
      </c>
      <c r="D19" s="16">
        <f>'Game summary'!M19</f>
        <v>10</v>
      </c>
      <c r="E19" s="16">
        <f>'Game summary'!N19</f>
        <v>6</v>
      </c>
      <c r="F19" s="36">
        <f>'Game summary'!O19</f>
        <v>2</v>
      </c>
      <c r="I19" s="16"/>
      <c r="J19" s="52"/>
      <c r="K19" s="16"/>
      <c r="L19" s="16"/>
      <c r="M19" s="16"/>
    </row>
    <row r="20" spans="1:13" ht="12.75" customHeight="1" x14ac:dyDescent="0.25">
      <c r="A20" s="35" t="str">
        <f>'Game summary'!J20</f>
        <v>S</v>
      </c>
      <c r="B20" s="16">
        <f>'Game summary'!K20</f>
        <v>1</v>
      </c>
      <c r="C20" s="16">
        <f>'Game summary'!L20</f>
        <v>1</v>
      </c>
      <c r="D20" s="16">
        <f>'Game summary'!M20</f>
        <v>2</v>
      </c>
      <c r="E20" s="16">
        <f>'Game summary'!N20</f>
        <v>1</v>
      </c>
      <c r="F20" s="36">
        <f>'Game summary'!O20</f>
        <v>1</v>
      </c>
      <c r="G20" t="s">
        <v>68</v>
      </c>
      <c r="J20" s="52"/>
      <c r="K20" s="16"/>
      <c r="L20" s="16"/>
      <c r="M20" s="16"/>
    </row>
    <row r="21" spans="1:13" ht="12.75" customHeight="1" thickBot="1" x14ac:dyDescent="0.35">
      <c r="A21" s="37" t="s">
        <v>49</v>
      </c>
      <c r="B21" s="38">
        <f>SUM(B9:B20)</f>
        <v>51</v>
      </c>
      <c r="C21" s="38">
        <f>SUM(C9:C20)</f>
        <v>51</v>
      </c>
      <c r="D21" s="38">
        <f>SUM(D9:D20)</f>
        <v>51</v>
      </c>
      <c r="E21" s="38">
        <f>SUM(E9:E20)</f>
        <v>51</v>
      </c>
      <c r="F21" s="39">
        <f>SUM(F9:F20)</f>
        <v>51</v>
      </c>
    </row>
    <row r="22" spans="1:13" ht="12.75" customHeight="1" thickBot="1" x14ac:dyDescent="0.3"/>
    <row r="23" spans="1:13" ht="12.75" customHeight="1" x14ac:dyDescent="0.3">
      <c r="A23" s="40" t="s">
        <v>69</v>
      </c>
      <c r="B23" s="41"/>
      <c r="C23" s="41"/>
      <c r="D23" s="41"/>
      <c r="E23" s="41"/>
      <c r="F23" s="42"/>
      <c r="H23" s="40" t="s">
        <v>70</v>
      </c>
      <c r="I23" s="41"/>
      <c r="J23" s="41"/>
      <c r="K23" s="41"/>
      <c r="L23" s="41"/>
      <c r="M23" s="42"/>
    </row>
    <row r="24" spans="1:13" ht="12.75" customHeight="1" x14ac:dyDescent="0.3">
      <c r="A24" s="43" t="s">
        <v>13</v>
      </c>
      <c r="B24" s="20" t="s">
        <v>71</v>
      </c>
      <c r="C24" s="20" t="s">
        <v>72</v>
      </c>
      <c r="D24" s="20" t="s">
        <v>73</v>
      </c>
      <c r="E24" s="20" t="s">
        <v>74</v>
      </c>
      <c r="F24" s="44" t="s">
        <v>75</v>
      </c>
      <c r="H24" s="43" t="s">
        <v>13</v>
      </c>
      <c r="I24" s="20" t="s">
        <v>71</v>
      </c>
      <c r="J24" s="20" t="s">
        <v>72</v>
      </c>
      <c r="K24" s="20" t="s">
        <v>73</v>
      </c>
      <c r="L24" s="20" t="s">
        <v>74</v>
      </c>
      <c r="M24" s="44" t="s">
        <v>75</v>
      </c>
    </row>
    <row r="25" spans="1:13" ht="12.75" customHeight="1" x14ac:dyDescent="0.25">
      <c r="A25" s="35" t="str">
        <f>A10</f>
        <v>G1</v>
      </c>
      <c r="B25" s="149">
        <f t="array" ref="B25">_xlfn.IFNA(INDEX('Game summary'!$D:$D,MATCH($A25&amp;LEFT(B$24),'Game summary'!$B:$B&amp;'Game summary'!$C:$C,0),0),INDEX('Game summary'!$G:$G,MATCH($A25&amp;LEFT(B$24),'Game summary'!$E:$E&amp;'Game summary'!$F:$F,0),0))</f>
        <v>1000</v>
      </c>
      <c r="C25" s="149">
        <f t="array" ref="C25">_xlfn.IFNA(INDEX('Game summary'!$D:$D,MATCH($A25&amp;LEFT(C$24),'Game summary'!$B:$B&amp;'Game summary'!$C:$C,0),0),INDEX('Game summary'!$G:$G,MATCH($A25&amp;LEFT(C$24),'Game summary'!$E:$E&amp;'Game summary'!$F:$F,0),0))</f>
        <v>50</v>
      </c>
      <c r="D25" s="149">
        <f t="array" ref="D25">_xlfn.IFNA(INDEX('Game summary'!$D:$D,MATCH($A25&amp;LEFT(D$24),'Game summary'!$B:$B&amp;'Game summary'!$C:$C,0),0),INDEX('Game summary'!$G:$G,MATCH($A25&amp;LEFT(D$24),'Game summary'!$E:$E&amp;'Game summary'!$F:$F,0),0))</f>
        <v>24</v>
      </c>
      <c r="E25" s="149">
        <f t="array" ref="E25">_xlfn.IFNA(INDEX('Game summary'!$D:$D,MATCH($A25&amp;LEFT(E$24),'Game summary'!$B:$B&amp;'Game summary'!$C:$C,0),0),INDEX('Game summary'!$G:$G,MATCH($A25&amp;LEFT(E$24),'Game summary'!$E:$E&amp;'Game summary'!$F:$F,0),0))</f>
        <v>4</v>
      </c>
      <c r="F25" s="36"/>
      <c r="H25" s="35" t="str">
        <f t="shared" ref="H25:H35" si="0">A25</f>
        <v>G1</v>
      </c>
      <c r="I25" s="149">
        <f t="shared" ref="I25:I34" si="1">((B10)*(C10)*(D10)*(E10)*(F10))</f>
        <v>144</v>
      </c>
      <c r="J25" s="149">
        <f t="shared" ref="J25:J34" si="2">((B10)*(C10)*(D10)*(E10)*(F$21-(F$9+F10)))</f>
        <v>2304</v>
      </c>
      <c r="K25" s="149">
        <f t="shared" ref="K25:K34" si="3">((B10)*(C10)*(D10)*(E$21-(E$9+E10))*(F$21))</f>
        <v>35904</v>
      </c>
      <c r="L25" s="149">
        <f>((B10)*(C10)*(D21-(D9+D10))*(E$21)*(F$21))</f>
        <v>447372</v>
      </c>
      <c r="M25" s="36"/>
    </row>
    <row r="26" spans="1:13" ht="12.75" customHeight="1" x14ac:dyDescent="0.25">
      <c r="A26" s="35" t="str">
        <f t="shared" ref="A26:A35" si="4">A11</f>
        <v>G2</v>
      </c>
      <c r="B26" s="149">
        <f t="array" ref="B26">_xlfn.IFNA(INDEX('Game summary'!$D:$D,MATCH($A26&amp;LEFT(B$24),'Game summary'!$B:$B&amp;'Game summary'!$C:$C,0),0),INDEX('Game summary'!$G:$G,MATCH($A26&amp;LEFT(B$24),'Game summary'!$E:$E&amp;'Game summary'!$F:$F,0),0))</f>
        <v>1000</v>
      </c>
      <c r="C26" s="149">
        <f t="array" ref="C26">_xlfn.IFNA(INDEX('Game summary'!$D:$D,MATCH($A26&amp;LEFT(C$24),'Game summary'!$B:$B&amp;'Game summary'!$C:$C,0),0),INDEX('Game summary'!$G:$G,MATCH($A26&amp;LEFT(C$24),'Game summary'!$E:$E&amp;'Game summary'!$F:$F,0),0))</f>
        <v>50</v>
      </c>
      <c r="D26" s="149">
        <f t="array" ref="D26">_xlfn.IFNA(INDEX('Game summary'!$D:$D,MATCH($A26&amp;LEFT(D$24),'Game summary'!$B:$B&amp;'Game summary'!$C:$C,0),0),INDEX('Game summary'!$G:$G,MATCH($A26&amp;LEFT(D$24),'Game summary'!$E:$E&amp;'Game summary'!$F:$F,0),0))</f>
        <v>24</v>
      </c>
      <c r="E26" s="149">
        <f t="array" ref="E26">_xlfn.IFNA(INDEX('Game summary'!$D:$D,MATCH($A26&amp;LEFT(E$24),'Game summary'!$B:$B&amp;'Game summary'!$C:$C,0),0),INDEX('Game summary'!$G:$G,MATCH($A26&amp;LEFT(E$24),'Game summary'!$E:$E&amp;'Game summary'!$F:$F,0),0))</f>
        <v>0</v>
      </c>
      <c r="F26" s="36"/>
      <c r="H26" s="35" t="str">
        <f t="shared" si="0"/>
        <v>G2</v>
      </c>
      <c r="I26" s="149">
        <f t="shared" si="1"/>
        <v>16</v>
      </c>
      <c r="J26" s="149">
        <f t="shared" si="2"/>
        <v>800</v>
      </c>
      <c r="K26" s="149">
        <f t="shared" si="3"/>
        <v>18360</v>
      </c>
      <c r="L26" s="149"/>
      <c r="M26" s="36"/>
    </row>
    <row r="27" spans="1:13" ht="12.75" customHeight="1" x14ac:dyDescent="0.25">
      <c r="A27" s="35" t="str">
        <f t="shared" si="4"/>
        <v>A3</v>
      </c>
      <c r="B27" s="149">
        <f t="array" ref="B27">_xlfn.IFNA(INDEX('Game summary'!$D:$D,MATCH($A27&amp;LEFT(B$24),'Game summary'!$B:$B&amp;'Game summary'!$C:$C,0),0),INDEX('Game summary'!$G:$G,MATCH($A27&amp;LEFT(B$24),'Game summary'!$E:$E&amp;'Game summary'!$F:$F,0),0))</f>
        <v>400</v>
      </c>
      <c r="C27" s="149">
        <f t="array" ref="C27">_xlfn.IFNA(INDEX('Game summary'!$D:$D,MATCH($A27&amp;LEFT(C$24),'Game summary'!$B:$B&amp;'Game summary'!$C:$C,0),0),INDEX('Game summary'!$G:$G,MATCH($A27&amp;LEFT(C$24),'Game summary'!$E:$E&amp;'Game summary'!$F:$F,0),0))</f>
        <v>40</v>
      </c>
      <c r="D27" s="149">
        <f t="array" ref="D27">_xlfn.IFNA(INDEX('Game summary'!$D:$D,MATCH($A27&amp;LEFT(D$24),'Game summary'!$B:$B&amp;'Game summary'!$C:$C,0),0),INDEX('Game summary'!$G:$G,MATCH($A27&amp;LEFT(D$24),'Game summary'!$E:$E&amp;'Game summary'!$F:$F,0),0))</f>
        <v>20</v>
      </c>
      <c r="E27" s="149">
        <f t="array" ref="E27">_xlfn.IFNA(INDEX('Game summary'!$D:$D,MATCH($A27&amp;LEFT(E$24),'Game summary'!$B:$B&amp;'Game summary'!$C:$C,0),0),INDEX('Game summary'!$G:$G,MATCH($A27&amp;LEFT(E$24),'Game summary'!$E:$E&amp;'Game summary'!$F:$F,0),0))</f>
        <v>0</v>
      </c>
      <c r="F27" s="36"/>
      <c r="H27" s="35" t="str">
        <f t="shared" si="0"/>
        <v>A3</v>
      </c>
      <c r="I27" s="149">
        <f t="shared" si="1"/>
        <v>480</v>
      </c>
      <c r="J27" s="149">
        <f t="shared" si="2"/>
        <v>3600</v>
      </c>
      <c r="K27" s="149">
        <f t="shared" si="3"/>
        <v>43860</v>
      </c>
      <c r="L27" s="149"/>
      <c r="M27" s="36"/>
    </row>
    <row r="28" spans="1:13" ht="12.75" customHeight="1" x14ac:dyDescent="0.25">
      <c r="A28" s="35" t="str">
        <f t="shared" si="4"/>
        <v>A2</v>
      </c>
      <c r="B28" s="149">
        <f t="array" ref="B28">_xlfn.IFNA(INDEX('Game summary'!$D:$D,MATCH($A28&amp;LEFT(B$24),'Game summary'!$B:$B&amp;'Game summary'!$C:$C,0),0),INDEX('Game summary'!$G:$G,MATCH($A28&amp;LEFT(B$24),'Game summary'!$E:$E&amp;'Game summary'!$F:$F,0),0))</f>
        <v>400</v>
      </c>
      <c r="C28" s="149">
        <f t="array" ref="C28">_xlfn.IFNA(INDEX('Game summary'!$D:$D,MATCH($A28&amp;LEFT(C$24),'Game summary'!$B:$B&amp;'Game summary'!$C:$C,0),0),INDEX('Game summary'!$G:$G,MATCH($A28&amp;LEFT(C$24),'Game summary'!$E:$E&amp;'Game summary'!$F:$F,0),0))</f>
        <v>40</v>
      </c>
      <c r="D28" s="149">
        <f t="array" ref="D28">_xlfn.IFNA(INDEX('Game summary'!$D:$D,MATCH($A28&amp;LEFT(D$24),'Game summary'!$B:$B&amp;'Game summary'!$C:$C,0),0),INDEX('Game summary'!$G:$G,MATCH($A28&amp;LEFT(D$24),'Game summary'!$E:$E&amp;'Game summary'!$F:$F,0),0))</f>
        <v>20</v>
      </c>
      <c r="E28" s="149">
        <f t="array" ref="E28">_xlfn.IFNA(INDEX('Game summary'!$D:$D,MATCH($A28&amp;LEFT(E$24),'Game summary'!$B:$B&amp;'Game summary'!$C:$C,0),0),INDEX('Game summary'!$G:$G,MATCH($A28&amp;LEFT(E$24),'Game summary'!$E:$E&amp;'Game summary'!$F:$F,0),0))</f>
        <v>0</v>
      </c>
      <c r="F28" s="36"/>
      <c r="H28" s="35" t="str">
        <f t="shared" si="0"/>
        <v>A2</v>
      </c>
      <c r="I28" s="149">
        <f t="shared" si="1"/>
        <v>120</v>
      </c>
      <c r="J28" s="149">
        <f t="shared" si="2"/>
        <v>900</v>
      </c>
      <c r="K28" s="149">
        <f t="shared" si="3"/>
        <v>22950</v>
      </c>
      <c r="L28" s="149"/>
      <c r="M28" s="36"/>
    </row>
    <row r="29" spans="1:13" ht="12.75" customHeight="1" x14ac:dyDescent="0.25">
      <c r="A29" s="35" t="str">
        <f t="shared" si="4"/>
        <v>A1</v>
      </c>
      <c r="B29" s="149">
        <f t="array" ref="B29">_xlfn.IFNA(INDEX('Game summary'!$D:$D,MATCH($A29&amp;LEFT(B$24),'Game summary'!$B:$B&amp;'Game summary'!$C:$C,0),0),INDEX('Game summary'!$G:$G,MATCH($A29&amp;LEFT(B$24),'Game summary'!$E:$E&amp;'Game summary'!$F:$F,0),0))</f>
        <v>300</v>
      </c>
      <c r="C29" s="149">
        <f t="array" ref="C29">_xlfn.IFNA(INDEX('Game summary'!$D:$D,MATCH($A29&amp;LEFT(C$24),'Game summary'!$B:$B&amp;'Game summary'!$C:$C,0),0),INDEX('Game summary'!$G:$G,MATCH($A29&amp;LEFT(C$24),'Game summary'!$E:$E&amp;'Game summary'!$F:$F,0),0))</f>
        <v>30</v>
      </c>
      <c r="D29" s="149">
        <f t="array" ref="D29">_xlfn.IFNA(INDEX('Game summary'!$D:$D,MATCH($A29&amp;LEFT(D$24),'Game summary'!$B:$B&amp;'Game summary'!$C:$C,0),0),INDEX('Game summary'!$G:$G,MATCH($A29&amp;LEFT(D$24),'Game summary'!$E:$E&amp;'Game summary'!$F:$F,0),0))</f>
        <v>10</v>
      </c>
      <c r="E29" s="149">
        <f t="array" ref="E29">_xlfn.IFNA(INDEX('Game summary'!$D:$D,MATCH($A29&amp;LEFT(E$24),'Game summary'!$B:$B&amp;'Game summary'!$C:$C,0),0),INDEX('Game summary'!$G:$G,MATCH($A29&amp;LEFT(E$24),'Game summary'!$E:$E&amp;'Game summary'!$F:$F,0),0))</f>
        <v>0</v>
      </c>
      <c r="F29" s="36"/>
      <c r="H29" s="35" t="str">
        <f t="shared" si="0"/>
        <v>A1</v>
      </c>
      <c r="I29" s="149">
        <f t="shared" si="1"/>
        <v>9000</v>
      </c>
      <c r="J29" s="149">
        <f t="shared" si="2"/>
        <v>36900</v>
      </c>
      <c r="K29" s="149">
        <f t="shared" si="3"/>
        <v>193800</v>
      </c>
      <c r="L29" s="149"/>
      <c r="M29" s="36"/>
    </row>
    <row r="30" spans="1:13" ht="12.75" customHeight="1" x14ac:dyDescent="0.25">
      <c r="A30" s="35" t="str">
        <f t="shared" si="4"/>
        <v>A</v>
      </c>
      <c r="B30" s="149">
        <f t="array" ref="B30">_xlfn.IFNA(INDEX('Game summary'!$D:$D,MATCH($A30&amp;LEFT(B$24),'Game summary'!$B:$B&amp;'Game summary'!$C:$C,0),0),INDEX('Game summary'!$G:$G,MATCH($A30&amp;LEFT(B$24),'Game summary'!$E:$E&amp;'Game summary'!$F:$F,0),0))</f>
        <v>300</v>
      </c>
      <c r="C30" s="149">
        <f t="array" ref="C30">_xlfn.IFNA(INDEX('Game summary'!$D:$D,MATCH($A30&amp;LEFT(C$24),'Game summary'!$B:$B&amp;'Game summary'!$C:$C,0),0),INDEX('Game summary'!$G:$G,MATCH($A30&amp;LEFT(C$24),'Game summary'!$E:$E&amp;'Game summary'!$F:$F,0),0))</f>
        <v>30</v>
      </c>
      <c r="D30" s="149">
        <f t="array" ref="D30">_xlfn.IFNA(INDEX('Game summary'!$D:$D,MATCH($A30&amp;LEFT(D$24),'Game summary'!$B:$B&amp;'Game summary'!$C:$C,0),0),INDEX('Game summary'!$G:$G,MATCH($A30&amp;LEFT(D$24),'Game summary'!$E:$E&amp;'Game summary'!$F:$F,0),0))</f>
        <v>10</v>
      </c>
      <c r="E30" s="149">
        <f t="array" ref="E30">_xlfn.IFNA(INDEX('Game summary'!$D:$D,MATCH($A30&amp;LEFT(E$24),'Game summary'!$B:$B&amp;'Game summary'!$C:$C,0),0),INDEX('Game summary'!$G:$G,MATCH($A30&amp;LEFT(E$24),'Game summary'!$E:$E&amp;'Game summary'!$F:$F,0),0))</f>
        <v>0</v>
      </c>
      <c r="F30" s="36"/>
      <c r="H30" s="35" t="str">
        <f t="shared" si="0"/>
        <v>A</v>
      </c>
      <c r="I30" s="149">
        <f t="shared" si="1"/>
        <v>220</v>
      </c>
      <c r="J30" s="149">
        <f t="shared" si="2"/>
        <v>11000</v>
      </c>
      <c r="K30" s="149">
        <f t="shared" si="3"/>
        <v>41514</v>
      </c>
      <c r="L30" s="149"/>
      <c r="M30" s="36"/>
    </row>
    <row r="31" spans="1:13" ht="12.75" customHeight="1" x14ac:dyDescent="0.25">
      <c r="A31" s="35" t="str">
        <f t="shared" si="4"/>
        <v>K</v>
      </c>
      <c r="B31" s="149">
        <f t="array" ref="B31">_xlfn.IFNA(INDEX('Game summary'!$D:$D,MATCH($A31&amp;LEFT(B$24),'Game summary'!$B:$B&amp;'Game summary'!$C:$C,0),0),INDEX('Game summary'!$G:$G,MATCH($A31&amp;LEFT(B$24),'Game summary'!$E:$E&amp;'Game summary'!$F:$F,0),0))</f>
        <v>250</v>
      </c>
      <c r="C31" s="149">
        <f t="array" ref="C31">_xlfn.IFNA(INDEX('Game summary'!$D:$D,MATCH($A31&amp;LEFT(C$24),'Game summary'!$B:$B&amp;'Game summary'!$C:$C,0),0),INDEX('Game summary'!$G:$G,MATCH($A31&amp;LEFT(C$24),'Game summary'!$E:$E&amp;'Game summary'!$F:$F,0),0))</f>
        <v>24</v>
      </c>
      <c r="D31" s="149">
        <f t="array" ref="D31">_xlfn.IFNA(INDEX('Game summary'!$D:$D,MATCH($A31&amp;LEFT(D$24),'Game summary'!$B:$B&amp;'Game summary'!$C:$C,0),0),INDEX('Game summary'!$G:$G,MATCH($A31&amp;LEFT(D$24),'Game summary'!$E:$E&amp;'Game summary'!$F:$F,0),0))</f>
        <v>8</v>
      </c>
      <c r="E31" s="149">
        <f t="array" ref="E31">_xlfn.IFNA(INDEX('Game summary'!$D:$D,MATCH($A31&amp;LEFT(E$24),'Game summary'!$B:$B&amp;'Game summary'!$C:$C,0),0),INDEX('Game summary'!$G:$G,MATCH($A31&amp;LEFT(E$24),'Game summary'!$E:$E&amp;'Game summary'!$F:$F,0),0))</f>
        <v>0</v>
      </c>
      <c r="F31" s="36"/>
      <c r="H31" s="35" t="str">
        <f t="shared" si="0"/>
        <v>K</v>
      </c>
      <c r="I31" s="149">
        <f t="shared" si="1"/>
        <v>8000</v>
      </c>
      <c r="J31" s="149">
        <f t="shared" si="2"/>
        <v>32800</v>
      </c>
      <c r="K31" s="149">
        <f t="shared" si="3"/>
        <v>198900</v>
      </c>
      <c r="L31" s="149"/>
      <c r="M31" s="36"/>
    </row>
    <row r="32" spans="1:13" ht="12.75" customHeight="1" x14ac:dyDescent="0.25">
      <c r="A32" s="35" t="str">
        <f t="shared" si="4"/>
        <v>Q</v>
      </c>
      <c r="B32" s="149">
        <f t="array" ref="B32">_xlfn.IFNA(INDEX('Game summary'!$D:$D,MATCH($A32&amp;LEFT(B$24),'Game summary'!$B:$B&amp;'Game summary'!$C:$C,0),0),INDEX('Game summary'!$G:$G,MATCH($A32&amp;LEFT(B$24),'Game summary'!$E:$E&amp;'Game summary'!$F:$F,0),0))</f>
        <v>250</v>
      </c>
      <c r="C32" s="149">
        <f t="array" ref="C32">_xlfn.IFNA(INDEX('Game summary'!$D:$D,MATCH($A32&amp;LEFT(C$24),'Game summary'!$B:$B&amp;'Game summary'!$C:$C,0),0),INDEX('Game summary'!$G:$G,MATCH($A32&amp;LEFT(C$24),'Game summary'!$E:$E&amp;'Game summary'!$F:$F,0),0))</f>
        <v>24</v>
      </c>
      <c r="D32" s="149">
        <f t="array" ref="D32">_xlfn.IFNA(INDEX('Game summary'!$D:$D,MATCH($A32&amp;LEFT(D$24),'Game summary'!$B:$B&amp;'Game summary'!$C:$C,0),0),INDEX('Game summary'!$G:$G,MATCH($A32&amp;LEFT(D$24),'Game summary'!$E:$E&amp;'Game summary'!$F:$F,0),0))</f>
        <v>8</v>
      </c>
      <c r="E32" s="149">
        <f t="array" ref="E32">_xlfn.IFNA(INDEX('Game summary'!$D:$D,MATCH($A32&amp;LEFT(E$24),'Game summary'!$B:$B&amp;'Game summary'!$C:$C,0),0),INDEX('Game summary'!$G:$G,MATCH($A32&amp;LEFT(E$24),'Game summary'!$E:$E&amp;'Game summary'!$F:$F,0),0))</f>
        <v>0</v>
      </c>
      <c r="F32" s="36"/>
      <c r="H32" s="35" t="str">
        <f t="shared" si="0"/>
        <v>Q</v>
      </c>
      <c r="I32" s="149">
        <f t="shared" si="1"/>
        <v>220</v>
      </c>
      <c r="J32" s="149">
        <f t="shared" si="2"/>
        <v>902</v>
      </c>
      <c r="K32" s="149">
        <f t="shared" si="3"/>
        <v>51612</v>
      </c>
      <c r="L32" s="149"/>
      <c r="M32" s="36"/>
    </row>
    <row r="33" spans="1:13" ht="12.75" customHeight="1" x14ac:dyDescent="0.25">
      <c r="A33" s="35" t="str">
        <f t="shared" si="4"/>
        <v>J</v>
      </c>
      <c r="B33" s="149">
        <f t="array" ref="B33">_xlfn.IFNA(INDEX('Game summary'!$D:$D,MATCH($A33&amp;LEFT(B$24),'Game summary'!$B:$B&amp;'Game summary'!$C:$C,0),0),INDEX('Game summary'!$G:$G,MATCH($A33&amp;LEFT(B$24),'Game summary'!$E:$E&amp;'Game summary'!$F:$F,0),0))</f>
        <v>200</v>
      </c>
      <c r="C33" s="149">
        <f t="array" ref="C33">_xlfn.IFNA(INDEX('Game summary'!$D:$D,MATCH($A33&amp;LEFT(C$24),'Game summary'!$B:$B&amp;'Game summary'!$C:$C,0),0),INDEX('Game summary'!$G:$G,MATCH($A33&amp;LEFT(C$24),'Game summary'!$E:$E&amp;'Game summary'!$F:$F,0),0))</f>
        <v>20</v>
      </c>
      <c r="D33" s="149">
        <f t="array" ref="D33">_xlfn.IFNA(INDEX('Game summary'!$D:$D,MATCH($A33&amp;LEFT(D$24),'Game summary'!$B:$B&amp;'Game summary'!$C:$C,0),0),INDEX('Game summary'!$G:$G,MATCH($A33&amp;LEFT(D$24),'Game summary'!$E:$E&amp;'Game summary'!$F:$F,0),0))</f>
        <v>6</v>
      </c>
      <c r="E33" s="149">
        <f t="array" ref="E33">_xlfn.IFNA(INDEX('Game summary'!$D:$D,MATCH($A33&amp;LEFT(E$24),'Game summary'!$B:$B&amp;'Game summary'!$C:$C,0),0),INDEX('Game summary'!$G:$G,MATCH($A33&amp;LEFT(E$24),'Game summary'!$E:$E&amp;'Game summary'!$F:$F,0),0))</f>
        <v>0</v>
      </c>
      <c r="F33" s="36"/>
      <c r="H33" s="35" t="str">
        <f t="shared" si="0"/>
        <v>J</v>
      </c>
      <c r="I33" s="149">
        <f t="shared" si="1"/>
        <v>33</v>
      </c>
      <c r="J33" s="149">
        <f t="shared" si="2"/>
        <v>1650</v>
      </c>
      <c r="K33" s="149">
        <f t="shared" si="3"/>
        <v>77418</v>
      </c>
      <c r="L33" s="149"/>
      <c r="M33" s="36"/>
    </row>
    <row r="34" spans="1:13" ht="12.75" customHeight="1" x14ac:dyDescent="0.25">
      <c r="A34" s="35" t="str">
        <f t="shared" si="4"/>
        <v>T</v>
      </c>
      <c r="B34" s="149">
        <f t="array" ref="B34">_xlfn.IFNA(INDEX('Game summary'!$D:$D,MATCH($A34&amp;LEFT(B$24),'Game summary'!$B:$B&amp;'Game summary'!$C:$C,0),0),INDEX('Game summary'!$G:$G,MATCH($A34&amp;LEFT(B$24),'Game summary'!$E:$E&amp;'Game summary'!$F:$F,0),0))</f>
        <v>200</v>
      </c>
      <c r="C34" s="149">
        <f t="array" ref="C34">_xlfn.IFNA(INDEX('Game summary'!$D:$D,MATCH($A34&amp;LEFT(C$24),'Game summary'!$B:$B&amp;'Game summary'!$C:$C,0),0),INDEX('Game summary'!$G:$G,MATCH($A34&amp;LEFT(C$24),'Game summary'!$E:$E&amp;'Game summary'!$F:$F,0),0))</f>
        <v>20</v>
      </c>
      <c r="D34" s="149">
        <f t="array" ref="D34">_xlfn.IFNA(INDEX('Game summary'!$D:$D,MATCH($A34&amp;LEFT(D$24),'Game summary'!$B:$B&amp;'Game summary'!$C:$C,0),0),INDEX('Game summary'!$G:$G,MATCH($A34&amp;LEFT(D$24),'Game summary'!$E:$E&amp;'Game summary'!$F:$F,0),0))</f>
        <v>6</v>
      </c>
      <c r="E34" s="149">
        <f t="array" ref="E34">_xlfn.IFNA(INDEX('Game summary'!$D:$D,MATCH($A34&amp;LEFT(E$24),'Game summary'!$B:$B&amp;'Game summary'!$C:$C,0),0),INDEX('Game summary'!$G:$G,MATCH($A34&amp;LEFT(E$24),'Game summary'!$E:$E&amp;'Game summary'!$F:$F,0),0))</f>
        <v>0</v>
      </c>
      <c r="F34" s="36"/>
      <c r="H34" s="35" t="str">
        <f t="shared" si="0"/>
        <v>T</v>
      </c>
      <c r="I34" s="149">
        <f t="shared" si="1"/>
        <v>3600</v>
      </c>
      <c r="J34" s="149">
        <f t="shared" si="2"/>
        <v>88200</v>
      </c>
      <c r="K34" s="149">
        <f t="shared" si="3"/>
        <v>627300</v>
      </c>
      <c r="L34" s="149"/>
      <c r="M34" s="36"/>
    </row>
    <row r="35" spans="1:13" ht="12.75" customHeight="1" thickBot="1" x14ac:dyDescent="0.3">
      <c r="A35" s="45" t="str">
        <f t="shared" si="4"/>
        <v>S</v>
      </c>
      <c r="B35" s="46">
        <f t="array" ref="B35">_xlfn.IFNA(INDEX('Game summary'!$D:$D,MATCH($A35&amp;LEFT(B$24),'Game summary'!$B:$B&amp;'Game summary'!$C:$C,0),0),INDEX('Game summary'!$G:$G,MATCH($A35&amp;LEFT(B$24),'Game summary'!$E:$E&amp;'Game summary'!$F:$F,0),0))</f>
        <v>400</v>
      </c>
      <c r="C35" s="46">
        <f t="array" ref="C35">_xlfn.IFNA(INDEX('Game summary'!$D:$D,MATCH($A35&amp;LEFT(C$24),'Game summary'!$B:$B&amp;'Game summary'!$C:$C,0),0),INDEX('Game summary'!$G:$G,MATCH($A35&amp;LEFT(C$24),'Game summary'!$E:$E&amp;'Game summary'!$F:$F,0),0))</f>
        <v>30</v>
      </c>
      <c r="D35" s="46">
        <f t="array" ref="D35">_xlfn.IFNA(INDEX('Game summary'!$D:$D,MATCH($A35&amp;LEFT(D$24),'Game summary'!$B:$B&amp;'Game summary'!$C:$C,0),0),INDEX('Game summary'!$G:$G,MATCH($A35&amp;LEFT(D$24),'Game summary'!$E:$E&amp;'Game summary'!$F:$F,0),0))</f>
        <v>4</v>
      </c>
      <c r="E35" s="46">
        <f t="array" ref="E35">_xlfn.IFNA(INDEX('Game summary'!$D:$D,MATCH($A35&amp;LEFT(E$24),'Game summary'!$B:$B&amp;'Game summary'!$C:$C,0),0),INDEX('Game summary'!$G:$G,MATCH($A35&amp;LEFT(E$24),'Game summary'!$E:$E&amp;'Game summary'!$F:$F,0),0))</f>
        <v>2</v>
      </c>
      <c r="F35" s="47"/>
      <c r="H35" s="45" t="str">
        <f t="shared" si="0"/>
        <v>S</v>
      </c>
      <c r="I35" s="150">
        <f>((4*(B20))*(4*(C20))*(4*(D20))*(4*(E20))*(4*(F20)))</f>
        <v>2048</v>
      </c>
      <c r="J35" s="150">
        <f>((4*(B20))*(4*(C20))*(4*(D20))*(4*(E20))*(F21-(4*(F20))))+((4*(B20))*(4*(C20))*(4*(D20))*(4*(F20))*(E21-(4*(E20))))+((4*(B20))*(4*(C20))*(4*(F20))*(4*(E20))*(D21-(4*(D20))))+((4*(B20))*(4*(F20))*(4*(D20))*(4*(E20))*(C21-(4*(C20))))+((4*(F20))*(4*(C20))*(4*(D20))*(4*(E20))*(B21-(4*(B20))))</f>
        <v>107264</v>
      </c>
      <c r="K35" s="150">
        <f>((4*(B20))*(4*(C20))*(4*(D20))*(E21-(4*(E20)))*(F21-(4*(F20))))+((4*(B20))*(4*(C20))*(4*(E20))*(D21-(4*(D20)))*(F21-(4*(F20))))+((4*(B20))*(4*(C20))*(4*(F20))*(E21-(4*(E20)))*(D21-(4*(D20))))+((4*(B20))*(4*(D20))*(4*(E20))*(C21-(4*(C20)))*(F21-(4*(F20))))+((4*(B20))*(4*(F20))*(4*(D20))*(E21-(4*(E20)))*(C21-(4*(C20))))+((4*(B20))*(4*(E20))*(4*(F20))*(C21-(4*(C20)))*(D21-(4*(D20))))+((4*(E20))*(4*(C20))*(4*(D20))*(B21-(4*(B20)))*(F21-(4*(F20))))+((4*(F20))*(4*(C20))*(4*(D20))*(E21-(4*(E20)))*(B21-(4*(B20))))+((4*(E20))*(4*(C20))*(4*(F20))*(B21-(4*(B20)))*(D21-(4*(D20))))+((4*(E20))*(4*(F20))*(4*(D20))*(B21-(4*(B20)))*(C21-(4*(C20))))</f>
        <v>2213888</v>
      </c>
      <c r="L35" s="150">
        <f>(4*B20*4*C20*(D21-(4*D20))*(E21-(4*E20))*(F21-(4*F20)))+(4*B20*(C21-(4*C20))*4*D20*(E21-(4*E20))*(F21-(4*F20)))+(4*B20*(C21-(4*C20))*(D21-(4*D20))*4*E20*(F21-(4*F20)))+(4*B20*(C21-(4*C20))*(D21-(4*D20))*(E21-(4*E20))*4*F20)+((B21-(4*B20))*4*C20*4*D20*(E21-(4*E20))*(F21-(4*F20)))+((B21-(4*B20))*4*C20*(D21-(4*D20))*4*E20*(F21-(4*F20)))+((B21-(4*B20))*4*C20*(D21-(4*D20))*(E21-(4*E20))*4*F20)+((B21-(4*B20))*(C21-(4*C20))*4*D20*4*E20*(F21-(4*F20)))+((B21-(4*B20))*(C21-(4*C20))*4*D20*(E21-(4*E20))*4*F20)+((B21-(4*B20))*(C21-(4*C20))*(D21-(4*D20))*4*E20*4*F20)</f>
        <v>22408096</v>
      </c>
      <c r="M35" s="47"/>
    </row>
    <row r="36" spans="1:13" ht="12.75" customHeight="1" thickBot="1" x14ac:dyDescent="0.3">
      <c r="I36" s="145"/>
      <c r="J36" s="145"/>
      <c r="K36" s="145"/>
      <c r="L36" s="145"/>
    </row>
    <row r="37" spans="1:13" ht="12.75" customHeight="1" x14ac:dyDescent="0.3">
      <c r="A37" s="40" t="s">
        <v>76</v>
      </c>
      <c r="B37" s="41"/>
      <c r="C37" s="41"/>
      <c r="D37" s="41"/>
      <c r="E37" s="41"/>
      <c r="F37" s="42"/>
      <c r="H37" s="40" t="s">
        <v>77</v>
      </c>
      <c r="I37" s="151"/>
      <c r="J37" s="151"/>
      <c r="K37" s="151"/>
      <c r="L37" s="151"/>
      <c r="M37" s="42"/>
    </row>
    <row r="38" spans="1:13" ht="12.75" customHeight="1" x14ac:dyDescent="0.3">
      <c r="A38" s="43" t="s">
        <v>13</v>
      </c>
      <c r="B38" s="20" t="s">
        <v>71</v>
      </c>
      <c r="C38" s="20" t="s">
        <v>72</v>
      </c>
      <c r="D38" s="20" t="s">
        <v>73</v>
      </c>
      <c r="E38" s="20" t="s">
        <v>74</v>
      </c>
      <c r="F38" s="44" t="s">
        <v>75</v>
      </c>
      <c r="H38" s="43" t="s">
        <v>13</v>
      </c>
      <c r="I38" s="20" t="s">
        <v>71</v>
      </c>
      <c r="J38" s="20" t="s">
        <v>72</v>
      </c>
      <c r="K38" s="20" t="s">
        <v>73</v>
      </c>
      <c r="L38" s="20" t="s">
        <v>74</v>
      </c>
      <c r="M38" s="44" t="s">
        <v>75</v>
      </c>
    </row>
    <row r="39" spans="1:13" ht="12.75" customHeight="1" x14ac:dyDescent="0.25">
      <c r="A39" s="35" t="str">
        <f>A9</f>
        <v>W</v>
      </c>
      <c r="B39" s="149"/>
      <c r="C39" s="149"/>
      <c r="D39" s="149"/>
      <c r="E39" s="149"/>
      <c r="F39" s="152"/>
      <c r="H39" s="35" t="str">
        <f>A39</f>
        <v>W</v>
      </c>
      <c r="I39" s="149">
        <f>(B$9*C$9*D$9*E$9*F$9)</f>
        <v>0</v>
      </c>
      <c r="J39" s="149">
        <f>(B$9*C$9*D$9*E$9*(F$21-(F$9+F10+F11+F12+F13+F14+F15+F16+F17)))</f>
        <v>0</v>
      </c>
      <c r="K39" s="149">
        <f>(B$9*C$9*D$9*(E$21-(E$9+E10+E11))*F$21)-(B9*C9*D9*E12*(F9+F12))-(B9*C9*D9*E13*(F9+F13))-(B9*C9*D9*E14*(F9+F14))-(B9*C9*D9*E15*(F9+F15))-(B9*C9*D9*E16*(F9+F16))-(B9*C9*D9*E17*(F9+F17))-(B9*C9*D9*E18*(F9+F18))-(B9*C9*D9*E19*(F9+F19))</f>
        <v>0</v>
      </c>
      <c r="L39" s="149">
        <f>(B$9*C$9*(D$21-(D$9+D10+D11+D12+D13+D14+D15+D16+D17+D18+D19))*E$21*F$21)</f>
        <v>0</v>
      </c>
      <c r="M39" s="152"/>
    </row>
    <row r="40" spans="1:13" ht="12.75" customHeight="1" x14ac:dyDescent="0.25">
      <c r="A40" s="35" t="str">
        <f t="shared" ref="A40:A49" si="5">A25</f>
        <v>G1</v>
      </c>
      <c r="B40" s="149">
        <f>B25*$C$82</f>
        <v>2000</v>
      </c>
      <c r="C40" s="149">
        <f>C25*$C$82</f>
        <v>100</v>
      </c>
      <c r="D40" s="149">
        <f>D25*$C$82</f>
        <v>48</v>
      </c>
      <c r="E40" s="149">
        <f>E25*$C$82</f>
        <v>8</v>
      </c>
      <c r="F40" s="152"/>
      <c r="H40" s="35" t="str">
        <f t="shared" ref="H40:H49" si="6">A25</f>
        <v>G1</v>
      </c>
      <c r="I40" s="149">
        <f>((B$9+B10)*(C$9+C10)*(D$9+D10)*(E$9+E10)*(F$9+F10))-(B10*C10*D10*E10*F10)-(B$9*C$9*D$9*E$9*F$9)</f>
        <v>1872</v>
      </c>
      <c r="J40" s="149">
        <f>((B$9+B10)*(C$9+C10)*(D$9+D10)*(E$9+E10)*(F$21-(F$9+F10)))-(B10*C10*D10*E10*(F$21-(F$9+F10)))-(B$9*C$9*D$9*E$9*(F$21-(F$9+F10)))</f>
        <v>29952</v>
      </c>
      <c r="K40" s="149">
        <f>((B$9+B10)*(C$9+C10)*(D$9+D10)*(E$21-(E$9+E10))*F$21)-(B10*C10*D10*(E$21-(E$9+E10))*F$21)</f>
        <v>179520</v>
      </c>
      <c r="L40" s="149">
        <f>((B$9+B10)*(C$9+C10)*(D$21-(D$9+D10))*(E$21)*F$21)-(B10*C10*(D$21-(D$9+D10))*E$21*F$21)</f>
        <v>894744</v>
      </c>
      <c r="M40" s="36"/>
    </row>
    <row r="41" spans="1:13" ht="12.75" customHeight="1" x14ac:dyDescent="0.25">
      <c r="A41" s="35" t="str">
        <f t="shared" si="5"/>
        <v>G2</v>
      </c>
      <c r="B41" s="149">
        <f t="shared" ref="B41:D49" si="7">B26*$C$82</f>
        <v>2000</v>
      </c>
      <c r="C41" s="149">
        <f t="shared" si="7"/>
        <v>100</v>
      </c>
      <c r="D41" s="149">
        <f t="shared" si="7"/>
        <v>48</v>
      </c>
      <c r="E41" s="149"/>
      <c r="F41" s="152"/>
      <c r="H41" s="35" t="str">
        <f t="shared" si="6"/>
        <v>G2</v>
      </c>
      <c r="I41" s="149">
        <f t="shared" ref="I41:I47" si="8">((B$9+B11)*(C$9+C11)*(D$9+D11)*(E$9+E11)*(F$9+F11))-(B11*C11*D11*E11*F11)-(B$9*C$9*D$9*E$9*(F$9))</f>
        <v>704</v>
      </c>
      <c r="J41" s="149">
        <f>((B$9+B11)*(C$9+C11)*(D$9+D11)*(E$9+E11)*(F$21-(F$9+F11)))-(B11*C11*D11*E11*(F$21-(F$9+F11)))-(B$9*C$9*D$9*E$9*(F$21-(F$9+F11)))</f>
        <v>35200</v>
      </c>
      <c r="K41" s="149">
        <f>((B$9+B11)*(C$9+C11)*(D$9+D11)*(E$21-(E$9+E11))*F$21)-(B11*C11*D11*(E$21-(E$9+E11))*F$21)-(B$9*C$9*D$9*(E$21-(E$9+E11))*F$21)</f>
        <v>257040</v>
      </c>
      <c r="L41" s="149"/>
      <c r="M41" s="36"/>
    </row>
    <row r="42" spans="1:13" ht="12.75" customHeight="1" x14ac:dyDescent="0.25">
      <c r="A42" s="35" t="str">
        <f t="shared" si="5"/>
        <v>A3</v>
      </c>
      <c r="B42" s="149">
        <f t="shared" si="7"/>
        <v>800</v>
      </c>
      <c r="C42" s="149">
        <f t="shared" si="7"/>
        <v>80</v>
      </c>
      <c r="D42" s="149">
        <f t="shared" si="7"/>
        <v>40</v>
      </c>
      <c r="E42" s="149"/>
      <c r="F42" s="152"/>
      <c r="H42" s="35" t="str">
        <f t="shared" si="6"/>
        <v>A3</v>
      </c>
      <c r="I42" s="149">
        <f t="shared" si="8"/>
        <v>2976</v>
      </c>
      <c r="J42" s="149">
        <f t="shared" ref="J42:J49" si="9">((B$9+B12)*(C$9+C12)*(D$9+D12)*(E$9+E12)*(F$21-(F$9+F12)))-(B12*C12*D12*E12*(F$21-(F$9+F12)))-(B$9*C$9*D$9*(E$9+E12)*(F$21-(F$9+F12)))</f>
        <v>22320</v>
      </c>
      <c r="K42" s="149">
        <f>((B$9+B12)*(C$9+C12)*(D$9+D12)*(E$21-(E$9+E12))*F$21)-(B12*C12*D12*(E$21-(E$9+E12))*F$21)-(B$9*C$9*D$9*(E$21-(E$9+E12))*F$21)</f>
        <v>114036</v>
      </c>
      <c r="L42" s="149"/>
      <c r="M42" s="36"/>
    </row>
    <row r="43" spans="1:13" ht="12.75" customHeight="1" x14ac:dyDescent="0.25">
      <c r="A43" s="35" t="str">
        <f t="shared" si="5"/>
        <v>A2</v>
      </c>
      <c r="B43" s="149">
        <f t="shared" si="7"/>
        <v>800</v>
      </c>
      <c r="C43" s="149">
        <f t="shared" si="7"/>
        <v>80</v>
      </c>
      <c r="D43" s="149">
        <f t="shared" si="7"/>
        <v>40</v>
      </c>
      <c r="E43" s="149"/>
      <c r="F43" s="152"/>
      <c r="H43" s="35" t="str">
        <f t="shared" si="6"/>
        <v>A2</v>
      </c>
      <c r="I43" s="149">
        <f t="shared" si="8"/>
        <v>5280</v>
      </c>
      <c r="J43" s="149">
        <f t="shared" si="9"/>
        <v>39600</v>
      </c>
      <c r="K43" s="149">
        <f>((B$9+B13)*(C$9+C13)*(D$9+D13)*(E$21-(E$9+E13))*F$21)-(B13*C13*D13*(E$21-(E$9+E13))*F$21)-(B$9*C$9*D$9*(E$21-(E$9+E13))*F$21)</f>
        <v>321300</v>
      </c>
      <c r="L43" s="149"/>
      <c r="M43" s="36"/>
    </row>
    <row r="44" spans="1:13" ht="12.75" customHeight="1" x14ac:dyDescent="0.25">
      <c r="A44" s="35" t="str">
        <f t="shared" si="5"/>
        <v>A1</v>
      </c>
      <c r="B44" s="149">
        <f t="shared" si="7"/>
        <v>600</v>
      </c>
      <c r="C44" s="149">
        <f t="shared" si="7"/>
        <v>60</v>
      </c>
      <c r="D44" s="149">
        <f t="shared" si="7"/>
        <v>20</v>
      </c>
      <c r="E44" s="149"/>
      <c r="F44" s="152"/>
      <c r="H44" s="35" t="str">
        <f t="shared" si="6"/>
        <v>A1</v>
      </c>
      <c r="I44" s="149">
        <f t="shared" si="8"/>
        <v>16480</v>
      </c>
      <c r="J44" s="149">
        <f t="shared" si="9"/>
        <v>67568</v>
      </c>
      <c r="K44" s="149">
        <f>((B$9+B14)*(C$9+C14)*(D$9+D14)*(E$21-(E$9+E14))*F$21)-(B14*C14*D14*(E$21-(E$9+E14))*F$21)-(B$9*C$9*D$9*(E$21-(E$9+E14))*F$21)</f>
        <v>186048</v>
      </c>
      <c r="L44" s="149"/>
      <c r="M44" s="36"/>
    </row>
    <row r="45" spans="1:13" ht="12.75" customHeight="1" x14ac:dyDescent="0.25">
      <c r="A45" s="35" t="str">
        <f t="shared" si="5"/>
        <v>A</v>
      </c>
      <c r="B45" s="149">
        <f t="shared" si="7"/>
        <v>600</v>
      </c>
      <c r="C45" s="149">
        <f t="shared" si="7"/>
        <v>60</v>
      </c>
      <c r="D45" s="149">
        <f t="shared" si="7"/>
        <v>20</v>
      </c>
      <c r="E45" s="149"/>
      <c r="F45" s="152"/>
      <c r="H45" s="35" t="str">
        <f t="shared" si="6"/>
        <v>A</v>
      </c>
      <c r="I45" s="149">
        <f t="shared" si="8"/>
        <v>4400</v>
      </c>
      <c r="J45" s="149">
        <f t="shared" si="9"/>
        <v>220000</v>
      </c>
      <c r="K45" s="149">
        <f>((B$9+B15)*(C$9+C15)*(D$9+D15)*(E$21-(E$9+E15))*F$21)-(B15*C15*D15*(E$21-(E$9+E15))*F$21)-(B$9*C$9*D$9*(E$21-(E$9+E15))*F$21)</f>
        <v>581196</v>
      </c>
      <c r="L45" s="149"/>
      <c r="M45" s="36"/>
    </row>
    <row r="46" spans="1:13" ht="12.75" customHeight="1" x14ac:dyDescent="0.25">
      <c r="A46" s="35" t="str">
        <f t="shared" si="5"/>
        <v>K</v>
      </c>
      <c r="B46" s="149">
        <f t="shared" si="7"/>
        <v>500</v>
      </c>
      <c r="C46" s="149">
        <f t="shared" si="7"/>
        <v>48</v>
      </c>
      <c r="D46" s="149">
        <f t="shared" si="7"/>
        <v>16</v>
      </c>
      <c r="E46" s="149"/>
      <c r="F46" s="152"/>
      <c r="H46" s="35" t="str">
        <f t="shared" si="6"/>
        <v>K</v>
      </c>
      <c r="I46" s="149">
        <f t="shared" si="8"/>
        <v>15520</v>
      </c>
      <c r="J46" s="149">
        <f t="shared" si="9"/>
        <v>63632</v>
      </c>
      <c r="K46" s="149">
        <f>((B$9+B16)*(C$9+C16)*(D$9+D16)*(E$21-(E$9+E16))*F$21)-(B16*C16*D16*(E$21-(E$9+E16))*F$21)-(B$9*C$9*(D$9)*(E$21-(E$9+E16))*F$21)</f>
        <v>190944</v>
      </c>
      <c r="L46" s="149"/>
      <c r="M46" s="36"/>
    </row>
    <row r="47" spans="1:13" ht="12.75" customHeight="1" x14ac:dyDescent="0.25">
      <c r="A47" s="35" t="str">
        <f t="shared" si="5"/>
        <v>Q</v>
      </c>
      <c r="B47" s="149">
        <f t="shared" si="7"/>
        <v>500</v>
      </c>
      <c r="C47" s="149">
        <f t="shared" si="7"/>
        <v>48</v>
      </c>
      <c r="D47" s="149">
        <f t="shared" si="7"/>
        <v>16</v>
      </c>
      <c r="E47" s="149"/>
      <c r="F47" s="152"/>
      <c r="H47" s="35" t="str">
        <f t="shared" si="6"/>
        <v>Q</v>
      </c>
      <c r="I47" s="149">
        <f t="shared" si="8"/>
        <v>16280</v>
      </c>
      <c r="J47" s="149">
        <f t="shared" si="9"/>
        <v>66748</v>
      </c>
      <c r="K47" s="149">
        <f>((B$9+B17)*(C$9+C17)*(D$9+D17)*(E$21-(E$9+E17))*F$21)-(B17*C17*D17*(E$21-(E$9+E17))*F$21)-(B$9*C$9*(D$9)*(E$21-(E$9+E17))*F$21)</f>
        <v>722568</v>
      </c>
      <c r="L47" s="149"/>
      <c r="M47" s="36"/>
    </row>
    <row r="48" spans="1:13" ht="12.75" customHeight="1" x14ac:dyDescent="0.25">
      <c r="A48" s="35" t="str">
        <f t="shared" si="5"/>
        <v>J</v>
      </c>
      <c r="B48" s="149">
        <f t="shared" si="7"/>
        <v>400</v>
      </c>
      <c r="C48" s="149">
        <f t="shared" si="7"/>
        <v>40</v>
      </c>
      <c r="D48" s="149">
        <f t="shared" si="7"/>
        <v>12</v>
      </c>
      <c r="E48" s="149"/>
      <c r="F48" s="152"/>
      <c r="H48" s="35" t="str">
        <f t="shared" si="6"/>
        <v>J</v>
      </c>
      <c r="I48" s="149">
        <f>((B$9+B18)*(C$9+C18)*(D$9+D18)*(E$9+E18)*(F$9+F18))-(B18*C18*D18*E18*F18)-(B$9*C$9*D$9*E$9*(F$9+F18))</f>
        <v>1892</v>
      </c>
      <c r="J48" s="149">
        <f t="shared" si="9"/>
        <v>94600</v>
      </c>
      <c r="K48" s="149">
        <f>((B$9+B18)*(C$9+C18)*(D$9+D18)*(E$21-(E$9+E18))*F$21)-(B18*C18*D18*(E$21-(E$9+E18))*F$21)-(B$9*C$9*(D$9)*(E$21-(E$9+E18))*F$21)</f>
        <v>825792</v>
      </c>
      <c r="L48" s="149"/>
      <c r="M48" s="36"/>
    </row>
    <row r="49" spans="1:13" ht="12.75" customHeight="1" thickBot="1" x14ac:dyDescent="0.3">
      <c r="A49" s="45" t="str">
        <f t="shared" si="5"/>
        <v>T</v>
      </c>
      <c r="B49" s="46">
        <f t="shared" si="7"/>
        <v>400</v>
      </c>
      <c r="C49" s="46">
        <f t="shared" si="7"/>
        <v>40</v>
      </c>
      <c r="D49" s="46">
        <f t="shared" si="7"/>
        <v>12</v>
      </c>
      <c r="E49" s="46"/>
      <c r="F49" s="153"/>
      <c r="H49" s="45" t="str">
        <f t="shared" si="6"/>
        <v>T</v>
      </c>
      <c r="I49" s="150">
        <f>((B$9+B19)*(C$9+C19)*(D$9+D19)*(E$9+E19)*(F$9+F19))-(B19*C19*D19*E19*F19)-(B$9*C$9*D$9*E$9*(F$9+F19))</f>
        <v>8160</v>
      </c>
      <c r="J49" s="150">
        <f t="shared" si="9"/>
        <v>199920</v>
      </c>
      <c r="K49" s="150">
        <f>((B$9+B19)*(C$9+C19)*(D$9+D19)*(E$21-(E$9+E19))*F$21)-(B19*C19*D19*(E$21-(E$9+E19))*F$21)-(B$9*C$9*(D$9)*(E$21-(E$9+E19))*F$21)</f>
        <v>602208</v>
      </c>
      <c r="L49" s="150"/>
      <c r="M49" s="47"/>
    </row>
    <row r="50" spans="1:13" ht="13.5" customHeight="1" thickBot="1" x14ac:dyDescent="0.3"/>
    <row r="51" spans="1:13" ht="12.75" customHeight="1" x14ac:dyDescent="0.3">
      <c r="A51" s="40" t="s">
        <v>78</v>
      </c>
      <c r="B51" s="41"/>
      <c r="C51" s="41"/>
      <c r="D51" s="41"/>
      <c r="E51" s="34" t="s">
        <v>79</v>
      </c>
    </row>
    <row r="52" spans="1:13" s="20" customFormat="1" ht="12.75" customHeight="1" x14ac:dyDescent="0.3">
      <c r="A52" s="43" t="s">
        <v>80</v>
      </c>
      <c r="B52" s="20" t="s">
        <v>81</v>
      </c>
      <c r="C52" s="20" t="s">
        <v>82</v>
      </c>
      <c r="D52" s="20" t="s">
        <v>83</v>
      </c>
      <c r="E52" s="44" t="s">
        <v>84</v>
      </c>
    </row>
    <row r="53" spans="1:13" ht="12.75" customHeight="1" x14ac:dyDescent="0.25">
      <c r="A53" s="64">
        <f>LARGE(B$25:F$49,1)</f>
        <v>2000</v>
      </c>
      <c r="B53" s="89">
        <f t="shared" ref="B53:B77" si="10">SUMIFS($I$25:$L$49,$B$25:$E$49,A53)</f>
        <v>2576</v>
      </c>
      <c r="C53" s="61">
        <f t="shared" ref="C53:C77" si="11">B53*A53/C$80</f>
        <v>1.4932240423179926E-2</v>
      </c>
      <c r="D53" s="91">
        <f t="shared" ref="D53:D62" si="12">A53*A53*B53</f>
        <v>10304000000</v>
      </c>
      <c r="E53" s="92">
        <f t="shared" ref="E53:E62" si="13">A53*B53</f>
        <v>5152000</v>
      </c>
      <c r="M53" s="145"/>
    </row>
    <row r="54" spans="1:13" ht="12.75" customHeight="1" x14ac:dyDescent="0.25">
      <c r="A54" s="64">
        <f t="shared" ref="A54:A77" si="14">LARGE(B$25:F$49,(RANK(A53,B$25:F$49)+(COUNTIF(B$25:F$49,A53))))</f>
        <v>1000</v>
      </c>
      <c r="B54" s="89">
        <f t="shared" si="10"/>
        <v>160</v>
      </c>
      <c r="C54" s="61">
        <f t="shared" si="11"/>
        <v>4.6373417463291695E-4</v>
      </c>
      <c r="D54" s="91">
        <f t="shared" si="12"/>
        <v>160000000</v>
      </c>
      <c r="E54" s="92">
        <f t="shared" si="13"/>
        <v>160000</v>
      </c>
      <c r="M54" s="145"/>
    </row>
    <row r="55" spans="1:13" ht="12.75" customHeight="1" x14ac:dyDescent="0.25">
      <c r="A55" s="64">
        <f t="shared" si="14"/>
        <v>800</v>
      </c>
      <c r="B55" s="89">
        <f t="shared" si="10"/>
        <v>8256</v>
      </c>
      <c r="C55" s="61">
        <f t="shared" si="11"/>
        <v>1.914294672884681E-2</v>
      </c>
      <c r="D55" s="91">
        <f t="shared" si="12"/>
        <v>5283840000</v>
      </c>
      <c r="E55" s="92">
        <f t="shared" si="13"/>
        <v>6604800</v>
      </c>
      <c r="M55" s="145"/>
    </row>
    <row r="56" spans="1:13" ht="12.75" customHeight="1" x14ac:dyDescent="0.25">
      <c r="A56" s="64">
        <f t="shared" si="14"/>
        <v>600</v>
      </c>
      <c r="B56" s="89">
        <f t="shared" si="10"/>
        <v>20880</v>
      </c>
      <c r="C56" s="61">
        <f t="shared" si="11"/>
        <v>3.6310385873757393E-2</v>
      </c>
      <c r="D56" s="91">
        <f t="shared" si="12"/>
        <v>7516800000</v>
      </c>
      <c r="E56" s="92">
        <f t="shared" si="13"/>
        <v>12528000</v>
      </c>
      <c r="M56" s="145"/>
    </row>
    <row r="57" spans="1:13" ht="12.75" customHeight="1" x14ac:dyDescent="0.25">
      <c r="A57" s="64">
        <f t="shared" si="14"/>
        <v>500</v>
      </c>
      <c r="B57" s="89">
        <f t="shared" si="10"/>
        <v>31800</v>
      </c>
      <c r="C57" s="61">
        <f t="shared" si="11"/>
        <v>4.6083583604146119E-2</v>
      </c>
      <c r="D57" s="91">
        <f t="shared" si="12"/>
        <v>7950000000</v>
      </c>
      <c r="E57" s="92">
        <f t="shared" si="13"/>
        <v>15900000</v>
      </c>
      <c r="M57" s="145"/>
    </row>
    <row r="58" spans="1:13" ht="12.75" customHeight="1" x14ac:dyDescent="0.25">
      <c r="A58" s="64">
        <f t="shared" si="14"/>
        <v>400</v>
      </c>
      <c r="B58" s="89">
        <f t="shared" si="10"/>
        <v>12700</v>
      </c>
      <c r="C58" s="61">
        <f t="shared" si="11"/>
        <v>1.4723560044595112E-2</v>
      </c>
      <c r="D58" s="91">
        <f t="shared" si="12"/>
        <v>2032000000</v>
      </c>
      <c r="E58" s="92">
        <f t="shared" si="13"/>
        <v>5080000</v>
      </c>
      <c r="M58" s="145"/>
    </row>
    <row r="59" spans="1:13" ht="12.75" customHeight="1" x14ac:dyDescent="0.25">
      <c r="A59" s="64">
        <f t="shared" si="14"/>
        <v>300</v>
      </c>
      <c r="B59" s="89">
        <f t="shared" si="10"/>
        <v>9220</v>
      </c>
      <c r="C59" s="61">
        <f t="shared" si="11"/>
        <v>8.0168045439665513E-3</v>
      </c>
      <c r="D59" s="91">
        <f t="shared" si="12"/>
        <v>829800000</v>
      </c>
      <c r="E59" s="92">
        <f t="shared" si="13"/>
        <v>2766000</v>
      </c>
      <c r="M59" s="145"/>
    </row>
    <row r="60" spans="1:13" ht="12.75" customHeight="1" x14ac:dyDescent="0.25">
      <c r="A60" s="64">
        <f t="shared" si="14"/>
        <v>250</v>
      </c>
      <c r="B60" s="89">
        <f t="shared" si="10"/>
        <v>8220</v>
      </c>
      <c r="C60" s="61">
        <f t="shared" si="11"/>
        <v>5.9560858054415267E-3</v>
      </c>
      <c r="D60" s="91">
        <f t="shared" si="12"/>
        <v>513750000</v>
      </c>
      <c r="E60" s="92">
        <f t="shared" si="13"/>
        <v>2055000</v>
      </c>
      <c r="M60" s="145"/>
    </row>
    <row r="61" spans="1:13" ht="12.75" customHeight="1" x14ac:dyDescent="0.25">
      <c r="A61" s="64">
        <f t="shared" si="14"/>
        <v>200</v>
      </c>
      <c r="B61" s="89">
        <f t="shared" si="10"/>
        <v>3633</v>
      </c>
      <c r="C61" s="61">
        <f t="shared" si="11"/>
        <v>2.1059328205517342E-3</v>
      </c>
      <c r="D61" s="91">
        <f t="shared" si="12"/>
        <v>145320000</v>
      </c>
      <c r="E61" s="92">
        <f t="shared" si="13"/>
        <v>726600</v>
      </c>
      <c r="M61" s="145"/>
    </row>
    <row r="62" spans="1:13" ht="12.75" customHeight="1" x14ac:dyDescent="0.25">
      <c r="A62" s="64">
        <f t="shared" si="14"/>
        <v>100</v>
      </c>
      <c r="B62" s="89">
        <f t="shared" si="10"/>
        <v>65152</v>
      </c>
      <c r="C62" s="61">
        <f t="shared" si="11"/>
        <v>1.8883255591052379E-2</v>
      </c>
      <c r="D62" s="91">
        <f t="shared" si="12"/>
        <v>651520000</v>
      </c>
      <c r="E62" s="92">
        <f t="shared" si="13"/>
        <v>6515200</v>
      </c>
      <c r="M62" s="145"/>
    </row>
    <row r="63" spans="1:13" ht="12.75" customHeight="1" x14ac:dyDescent="0.25">
      <c r="A63" s="64">
        <f t="shared" si="14"/>
        <v>80</v>
      </c>
      <c r="B63" s="89">
        <f t="shared" si="10"/>
        <v>61920</v>
      </c>
      <c r="C63" s="61">
        <f t="shared" si="11"/>
        <v>1.4357210046635108E-2</v>
      </c>
      <c r="D63" s="91">
        <f t="shared" ref="D63:D68" si="15">A63*A63*B63</f>
        <v>396288000</v>
      </c>
      <c r="E63" s="92">
        <f t="shared" ref="E63:E68" si="16">A63*B63</f>
        <v>4953600</v>
      </c>
      <c r="M63" s="145"/>
    </row>
    <row r="64" spans="1:13" ht="12.75" customHeight="1" x14ac:dyDescent="0.25">
      <c r="A64" s="64">
        <f t="shared" si="14"/>
        <v>60</v>
      </c>
      <c r="B64" s="89">
        <f t="shared" si="10"/>
        <v>287568</v>
      </c>
      <c r="C64" s="61">
        <f t="shared" si="11"/>
        <v>5.0008165924064499E-2</v>
      </c>
      <c r="D64" s="91">
        <f t="shared" si="15"/>
        <v>1035244800</v>
      </c>
      <c r="E64" s="92">
        <f t="shared" si="16"/>
        <v>17254080</v>
      </c>
      <c r="M64" s="145"/>
    </row>
    <row r="65" spans="1:13" ht="12.75" customHeight="1" x14ac:dyDescent="0.25">
      <c r="A65" s="64">
        <f t="shared" si="14"/>
        <v>50</v>
      </c>
      <c r="B65" s="89">
        <f t="shared" si="10"/>
        <v>3104</v>
      </c>
      <c r="C65" s="61">
        <f t="shared" si="11"/>
        <v>4.4982214939392941E-4</v>
      </c>
      <c r="D65" s="91">
        <f t="shared" si="15"/>
        <v>7760000</v>
      </c>
      <c r="E65" s="92">
        <f t="shared" si="16"/>
        <v>155200</v>
      </c>
      <c r="M65" s="145"/>
    </row>
    <row r="66" spans="1:13" ht="12.75" customHeight="1" x14ac:dyDescent="0.25">
      <c r="A66" s="64">
        <f t="shared" si="14"/>
        <v>48</v>
      </c>
      <c r="B66" s="89">
        <f t="shared" si="10"/>
        <v>566940</v>
      </c>
      <c r="C66" s="61">
        <f t="shared" si="11"/>
        <v>7.8872835889915782E-2</v>
      </c>
      <c r="D66" s="91">
        <f t="shared" si="15"/>
        <v>1306229760</v>
      </c>
      <c r="E66" s="92">
        <f t="shared" si="16"/>
        <v>27213120</v>
      </c>
      <c r="M66" s="145"/>
    </row>
    <row r="67" spans="1:13" ht="12.75" customHeight="1" x14ac:dyDescent="0.25">
      <c r="A67" s="64">
        <f t="shared" si="14"/>
        <v>40</v>
      </c>
      <c r="B67" s="89">
        <f t="shared" si="10"/>
        <v>734356</v>
      </c>
      <c r="C67" s="61">
        <f t="shared" si="11"/>
        <v>8.5136493386682582E-2</v>
      </c>
      <c r="D67" s="91">
        <f t="shared" si="15"/>
        <v>1174969600</v>
      </c>
      <c r="E67" s="92">
        <f t="shared" si="16"/>
        <v>29374240</v>
      </c>
      <c r="M67" s="145"/>
    </row>
    <row r="68" spans="1:13" ht="12.75" customHeight="1" x14ac:dyDescent="0.25">
      <c r="A68" s="64">
        <f t="shared" si="14"/>
        <v>30</v>
      </c>
      <c r="B68" s="89">
        <f t="shared" si="10"/>
        <v>155164</v>
      </c>
      <c r="C68" s="61">
        <f t="shared" si="11"/>
        <v>1.3491534276139111E-2</v>
      </c>
      <c r="D68" s="91">
        <f t="shared" si="15"/>
        <v>139647600</v>
      </c>
      <c r="E68" s="92">
        <f t="shared" si="16"/>
        <v>4654920</v>
      </c>
      <c r="M68" s="145"/>
    </row>
    <row r="69" spans="1:13" ht="12.75" customHeight="1" x14ac:dyDescent="0.25">
      <c r="A69" s="64">
        <f t="shared" si="14"/>
        <v>24</v>
      </c>
      <c r="B69" s="89">
        <f t="shared" si="10"/>
        <v>87966</v>
      </c>
      <c r="C69" s="61">
        <f t="shared" si="11"/>
        <v>6.1189260608638758E-3</v>
      </c>
      <c r="D69" s="91">
        <f t="shared" ref="D69:D77" si="17">A69*A69*B69</f>
        <v>50668416</v>
      </c>
      <c r="E69" s="92">
        <f t="shared" ref="E69:E77" si="18">A69*B69</f>
        <v>2111184</v>
      </c>
      <c r="M69" s="145"/>
    </row>
    <row r="70" spans="1:13" ht="12.75" customHeight="1" x14ac:dyDescent="0.25">
      <c r="A70" s="64">
        <f t="shared" si="14"/>
        <v>20</v>
      </c>
      <c r="B70" s="89">
        <f t="shared" si="10"/>
        <v>923904</v>
      </c>
      <c r="C70" s="61">
        <f t="shared" si="11"/>
        <v>5.3555732360006311E-2</v>
      </c>
      <c r="D70" s="91">
        <f t="shared" si="17"/>
        <v>369561600</v>
      </c>
      <c r="E70" s="92">
        <f t="shared" si="18"/>
        <v>18478080</v>
      </c>
      <c r="M70" s="145"/>
    </row>
    <row r="71" spans="1:13" ht="12.75" customHeight="1" x14ac:dyDescent="0.25">
      <c r="A71" s="64">
        <f t="shared" si="14"/>
        <v>16</v>
      </c>
      <c r="B71" s="89">
        <f t="shared" si="10"/>
        <v>913512</v>
      </c>
      <c r="C71" s="61">
        <f t="shared" si="11"/>
        <v>4.2362673333726522E-2</v>
      </c>
      <c r="D71" s="91">
        <f t="shared" si="17"/>
        <v>233859072</v>
      </c>
      <c r="E71" s="92">
        <f t="shared" si="18"/>
        <v>14616192</v>
      </c>
      <c r="M71" s="145"/>
    </row>
    <row r="72" spans="1:13" ht="12.75" customHeight="1" x14ac:dyDescent="0.25">
      <c r="A72" s="64">
        <f t="shared" si="14"/>
        <v>12</v>
      </c>
      <c r="B72" s="89">
        <f t="shared" si="10"/>
        <v>1428000</v>
      </c>
      <c r="C72" s="61">
        <f t="shared" si="11"/>
        <v>4.9665930103185402E-2</v>
      </c>
      <c r="D72" s="91">
        <f t="shared" si="17"/>
        <v>205632000</v>
      </c>
      <c r="E72" s="92">
        <f t="shared" si="18"/>
        <v>17136000</v>
      </c>
      <c r="M72" s="145"/>
    </row>
    <row r="73" spans="1:13" ht="12.75" customHeight="1" x14ac:dyDescent="0.25">
      <c r="A73" s="64">
        <f t="shared" si="14"/>
        <v>10</v>
      </c>
      <c r="B73" s="89">
        <f t="shared" si="10"/>
        <v>235314</v>
      </c>
      <c r="C73" s="61">
        <f t="shared" si="11"/>
        <v>6.8201964730981385E-3</v>
      </c>
      <c r="D73" s="91">
        <f t="shared" si="17"/>
        <v>23531400</v>
      </c>
      <c r="E73" s="92">
        <f t="shared" si="18"/>
        <v>2353140</v>
      </c>
      <c r="M73" s="145"/>
    </row>
    <row r="74" spans="1:13" ht="12.75" customHeight="1" x14ac:dyDescent="0.25">
      <c r="A74" s="64">
        <f t="shared" si="14"/>
        <v>8</v>
      </c>
      <c r="B74" s="89">
        <f t="shared" si="10"/>
        <v>1145256</v>
      </c>
      <c r="C74" s="61">
        <f t="shared" si="11"/>
        <v>2.6554717295169797E-2</v>
      </c>
      <c r="D74" s="91">
        <f t="shared" si="17"/>
        <v>73296384</v>
      </c>
      <c r="E74" s="92">
        <f t="shared" si="18"/>
        <v>9162048</v>
      </c>
      <c r="M74" s="145"/>
    </row>
    <row r="75" spans="1:13" ht="12.75" customHeight="1" x14ac:dyDescent="0.25">
      <c r="A75" s="64">
        <f t="shared" si="14"/>
        <v>6</v>
      </c>
      <c r="B75" s="89">
        <f t="shared" si="10"/>
        <v>704718</v>
      </c>
      <c r="C75" s="61">
        <f t="shared" si="11"/>
        <v>1.2255068252960999E-2</v>
      </c>
      <c r="D75" s="91">
        <f t="shared" si="17"/>
        <v>25369848</v>
      </c>
      <c r="E75" s="92">
        <f t="shared" si="18"/>
        <v>4228308</v>
      </c>
      <c r="M75" s="145"/>
    </row>
    <row r="76" spans="1:13" ht="12.75" customHeight="1" x14ac:dyDescent="0.25">
      <c r="A76" s="64">
        <f t="shared" si="14"/>
        <v>4</v>
      </c>
      <c r="B76" s="89">
        <f t="shared" si="10"/>
        <v>2661260</v>
      </c>
      <c r="C76" s="61">
        <f t="shared" si="11"/>
        <v>3.0852930239589915E-2</v>
      </c>
      <c r="D76" s="91">
        <f t="shared" si="17"/>
        <v>42580160</v>
      </c>
      <c r="E76" s="92">
        <f t="shared" si="18"/>
        <v>10645040</v>
      </c>
      <c r="M76" s="145"/>
    </row>
    <row r="77" spans="1:13" ht="12.75" customHeight="1" x14ac:dyDescent="0.25">
      <c r="A77" s="64">
        <f t="shared" si="14"/>
        <v>2</v>
      </c>
      <c r="B77" s="89">
        <f t="shared" si="10"/>
        <v>22408096</v>
      </c>
      <c r="C77" s="61">
        <f t="shared" si="11"/>
        <v>0.12989249879568959</v>
      </c>
      <c r="D77" s="91">
        <f t="shared" si="17"/>
        <v>89632384</v>
      </c>
      <c r="E77" s="92">
        <f t="shared" si="18"/>
        <v>44816192</v>
      </c>
      <c r="M77" s="145"/>
    </row>
    <row r="78" spans="1:13" ht="12.75" customHeight="1" thickBot="1" x14ac:dyDescent="0.35">
      <c r="A78" s="45" t="s">
        <v>49</v>
      </c>
      <c r="B78" s="90">
        <f>SUM(B53:B77)</f>
        <v>32479675</v>
      </c>
      <c r="C78" s="59">
        <f>SUM(C53:C77)</f>
        <v>0.76701326419729199</v>
      </c>
      <c r="D78" s="93">
        <f>SUM(D53:D77)</f>
        <v>40561301024</v>
      </c>
      <c r="E78" s="94">
        <f>SUM(E53:E77)</f>
        <v>264638944</v>
      </c>
      <c r="M78" s="145"/>
    </row>
    <row r="79" spans="1:13" ht="12.75" customHeight="1" x14ac:dyDescent="0.25">
      <c r="M79" s="145"/>
    </row>
    <row r="80" spans="1:13" ht="12.75" customHeight="1" x14ac:dyDescent="0.3">
      <c r="B80" s="105" t="s">
        <v>85</v>
      </c>
      <c r="C80" s="88">
        <f>B21*C21*D21*E21*F21</f>
        <v>345025251</v>
      </c>
      <c r="M80" s="145"/>
    </row>
    <row r="81" spans="1:20" ht="12.75" customHeight="1" x14ac:dyDescent="0.25">
      <c r="B81" s="105"/>
      <c r="M81" s="145"/>
    </row>
    <row r="82" spans="1:20" ht="13" x14ac:dyDescent="0.3">
      <c r="B82" s="106" t="s">
        <v>86</v>
      </c>
      <c r="C82" s="88">
        <f>'Game summary'!M24</f>
        <v>2</v>
      </c>
      <c r="D82" s="6"/>
      <c r="F82" s="4"/>
      <c r="I82" s="88"/>
    </row>
    <row r="83" spans="1:20" ht="13" x14ac:dyDescent="0.3">
      <c r="B83" s="106"/>
      <c r="C83" s="88"/>
      <c r="D83" s="6"/>
      <c r="F83" s="4"/>
      <c r="I83" s="88"/>
    </row>
    <row r="84" spans="1:20" ht="12.75" customHeight="1" x14ac:dyDescent="0.25">
      <c r="B84" s="108" t="s">
        <v>87</v>
      </c>
      <c r="C84" s="21">
        <f>SUM(C53:C62)</f>
        <v>0.16661852961017048</v>
      </c>
      <c r="M84" s="145"/>
    </row>
    <row r="85" spans="1:20" ht="12.75" customHeight="1" x14ac:dyDescent="0.3">
      <c r="B85" s="105" t="s">
        <v>88</v>
      </c>
      <c r="C85" s="103">
        <f>B78</f>
        <v>32479675</v>
      </c>
      <c r="D85" s="149" t="s">
        <v>89</v>
      </c>
      <c r="E85" s="22">
        <f>1/(C85/C$80)</f>
        <v>10.62280490799246</v>
      </c>
      <c r="F85" s="104">
        <f>C85/C$80</f>
        <v>9.4137095490439915E-2</v>
      </c>
      <c r="M85" s="145"/>
    </row>
    <row r="86" spans="1:20" ht="12.75" customHeight="1" x14ac:dyDescent="0.3">
      <c r="B86" s="105" t="s">
        <v>90</v>
      </c>
      <c r="C86" s="102">
        <f>(SUM(I25:M34))+(SUM(I39:M49))</f>
        <v>7748379</v>
      </c>
      <c r="D86" s="149" t="s">
        <v>89</v>
      </c>
      <c r="E86" s="22">
        <f>1/(C86/C$80)</f>
        <v>44.528700906344412</v>
      </c>
      <c r="F86" s="104">
        <f>C86/C$80</f>
        <v>2.2457425876925164E-2</v>
      </c>
      <c r="M86" s="145"/>
    </row>
    <row r="87" spans="1:20" ht="12.75" customHeight="1" x14ac:dyDescent="0.3">
      <c r="B87" s="105" t="s">
        <v>91</v>
      </c>
      <c r="C87" s="89">
        <f>SUM(I35:L35)</f>
        <v>24731296</v>
      </c>
      <c r="D87" s="149" t="s">
        <v>89</v>
      </c>
      <c r="E87" s="22">
        <f>1/(C87/C$80)</f>
        <v>13.950957159705661</v>
      </c>
      <c r="F87" s="104">
        <f>C87/C$80</f>
        <v>7.1679669613514754E-2</v>
      </c>
      <c r="M87" s="145"/>
    </row>
    <row r="88" spans="1:20" ht="12.75" customHeight="1" x14ac:dyDescent="0.25">
      <c r="B88" s="105"/>
      <c r="M88" s="145"/>
    </row>
    <row r="89" spans="1:20" ht="12.75" customHeight="1" x14ac:dyDescent="0.3">
      <c r="B89" s="105" t="s">
        <v>92</v>
      </c>
      <c r="C89" s="63">
        <f>C78</f>
        <v>0.76701326419729199</v>
      </c>
      <c r="M89" s="145"/>
    </row>
    <row r="90" spans="1:20" ht="12.75" customHeight="1" x14ac:dyDescent="0.25">
      <c r="D90" s="23"/>
      <c r="E90" s="21"/>
      <c r="M90" s="145"/>
    </row>
    <row r="91" spans="1:20" ht="12.75" customHeight="1" thickBot="1" x14ac:dyDescent="0.3"/>
    <row r="92" spans="1:20" ht="12.75" customHeight="1" x14ac:dyDescent="0.3">
      <c r="A92" s="40" t="s">
        <v>93</v>
      </c>
      <c r="B92" s="41"/>
      <c r="C92" s="41"/>
      <c r="D92" s="41"/>
      <c r="E92" s="41"/>
      <c r="F92" s="42"/>
      <c r="H92" s="40" t="s">
        <v>94</v>
      </c>
      <c r="I92" s="41"/>
      <c r="J92" s="41"/>
      <c r="K92" s="41"/>
      <c r="L92" s="41"/>
      <c r="M92" s="42"/>
      <c r="P92" s="4"/>
      <c r="Q92" s="4"/>
      <c r="R92" s="4"/>
      <c r="S92" s="4"/>
      <c r="T92" s="4"/>
    </row>
    <row r="93" spans="1:20" ht="12.75" customHeight="1" x14ac:dyDescent="0.3">
      <c r="A93" s="43" t="s">
        <v>13</v>
      </c>
      <c r="B93" s="20" t="s">
        <v>71</v>
      </c>
      <c r="C93" s="20" t="s">
        <v>72</v>
      </c>
      <c r="D93" s="20" t="s">
        <v>73</v>
      </c>
      <c r="E93" s="20" t="s">
        <v>74</v>
      </c>
      <c r="F93" s="44" t="s">
        <v>75</v>
      </c>
      <c r="H93" s="43" t="s">
        <v>13</v>
      </c>
      <c r="I93" s="20" t="s">
        <v>71</v>
      </c>
      <c r="J93" s="20" t="s">
        <v>72</v>
      </c>
      <c r="K93" s="20" t="s">
        <v>73</v>
      </c>
      <c r="L93" s="20" t="s">
        <v>74</v>
      </c>
      <c r="M93" s="44" t="s">
        <v>75</v>
      </c>
      <c r="O93" s="21"/>
      <c r="P93" s="4"/>
      <c r="Q93" s="4"/>
      <c r="R93" s="4"/>
      <c r="S93" s="4"/>
      <c r="T93" s="4"/>
    </row>
    <row r="94" spans="1:20" ht="12.75" customHeight="1" x14ac:dyDescent="0.3">
      <c r="A94" s="154" t="s">
        <v>95</v>
      </c>
      <c r="B94" s="16">
        <f>I39*B39/$C$80</f>
        <v>0</v>
      </c>
      <c r="C94" s="16">
        <f>J39*C39/$C$80</f>
        <v>0</v>
      </c>
      <c r="D94" s="16">
        <f>K39*D39/$C$80</f>
        <v>0</v>
      </c>
      <c r="E94" s="16">
        <f>L39*E39/$C$80</f>
        <v>0</v>
      </c>
      <c r="F94" s="36">
        <f>M39*F39/$C$80</f>
        <v>0</v>
      </c>
      <c r="H94" s="35" t="str">
        <f t="shared" ref="H94:H104" si="19">A25</f>
        <v>G1</v>
      </c>
      <c r="I94" s="16">
        <f>I25*B25/$C$80</f>
        <v>4.1736075716962526E-4</v>
      </c>
      <c r="J94" s="16">
        <f>J25*C25/$C$80</f>
        <v>3.3388860573570022E-4</v>
      </c>
      <c r="K94" s="16">
        <f>K25*D25/$C$80</f>
        <v>2.4974867709030373E-3</v>
      </c>
      <c r="L94" s="16">
        <f>L25*E25/$C$80</f>
        <v>5.1865421293469331E-3</v>
      </c>
      <c r="M94" s="36"/>
      <c r="O94" s="21">
        <f>SUM(I94:L94)+SUM(B95:E95)</f>
        <v>7.3688797925111862E-2</v>
      </c>
      <c r="P94" s="4"/>
      <c r="Q94" s="4"/>
      <c r="R94" s="4"/>
      <c r="S94" s="4"/>
      <c r="T94" s="4"/>
    </row>
    <row r="95" spans="1:20" ht="12.75" customHeight="1" x14ac:dyDescent="0.3">
      <c r="A95" s="35" t="str">
        <f t="shared" ref="A95:A104" si="20">H94</f>
        <v>G1</v>
      </c>
      <c r="B95" s="16">
        <f>I40*B40/$C$80</f>
        <v>1.0851379686410256E-2</v>
      </c>
      <c r="C95" s="16">
        <f>J40*C40/$C$80</f>
        <v>8.6811037491282047E-3</v>
      </c>
      <c r="D95" s="16">
        <f>K40*D40/$C$80</f>
        <v>2.4974867709030374E-2</v>
      </c>
      <c r="E95" s="16">
        <f>L40*E40/$C$80</f>
        <v>2.0746168517387732E-2</v>
      </c>
      <c r="F95" s="36"/>
      <c r="H95" s="35" t="str">
        <f t="shared" si="19"/>
        <v>G2</v>
      </c>
      <c r="I95" s="16">
        <f t="shared" ref="I95:I104" si="21">I26*B26/$C$80</f>
        <v>4.6373417463291696E-5</v>
      </c>
      <c r="J95" s="16">
        <f t="shared" ref="J95:J104" si="22">J26*C26/$C$80</f>
        <v>1.1593354365822924E-4</v>
      </c>
      <c r="K95" s="16">
        <f t="shared" ref="K95:K104" si="23">K26*D26/$C$80</f>
        <v>1.2771239169390533E-3</v>
      </c>
      <c r="L95" s="16"/>
      <c r="M95" s="36"/>
      <c r="O95" s="21">
        <f t="shared" ref="O95:O103" si="24">SUM(I95:K95)+SUM(B96:D96)</f>
        <v>5.1481913131047906E-2</v>
      </c>
      <c r="P95" s="4"/>
      <c r="Q95" s="4"/>
      <c r="R95" s="4"/>
      <c r="S95" s="4"/>
      <c r="T95" s="4"/>
    </row>
    <row r="96" spans="1:20" ht="12.75" customHeight="1" x14ac:dyDescent="0.3">
      <c r="A96" s="35" t="str">
        <f t="shared" si="20"/>
        <v>G2</v>
      </c>
      <c r="B96" s="16">
        <f t="shared" ref="B96:B104" si="25">I41*B41/$C$80</f>
        <v>4.0808607367696691E-3</v>
      </c>
      <c r="C96" s="16">
        <f t="shared" ref="C96:C104" si="26">J41*C41/$C$80</f>
        <v>1.0202151841924172E-2</v>
      </c>
      <c r="D96" s="16">
        <f t="shared" ref="D96:D104" si="27">K41*D41/$C$80</f>
        <v>3.5759469674293491E-2</v>
      </c>
      <c r="E96" s="16"/>
      <c r="F96" s="36"/>
      <c r="H96" s="35" t="str">
        <f t="shared" si="19"/>
        <v>A3</v>
      </c>
      <c r="I96" s="16">
        <f t="shared" si="21"/>
        <v>5.5648100955950038E-4</v>
      </c>
      <c r="J96" s="16">
        <f t="shared" si="22"/>
        <v>4.1736075716962526E-4</v>
      </c>
      <c r="K96" s="16">
        <f t="shared" si="23"/>
        <v>2.542422612424967E-3</v>
      </c>
      <c r="L96" s="16"/>
      <c r="M96" s="36"/>
      <c r="O96" s="21">
        <f t="shared" si="24"/>
        <v>2.8812499871205079E-2</v>
      </c>
      <c r="P96" s="4"/>
      <c r="Q96" s="4"/>
      <c r="R96" s="4"/>
      <c r="S96" s="4"/>
      <c r="T96" s="4"/>
    </row>
    <row r="97" spans="1:20" ht="12.75" customHeight="1" x14ac:dyDescent="0.3">
      <c r="A97" s="35" t="str">
        <f t="shared" si="20"/>
        <v>A3</v>
      </c>
      <c r="B97" s="16">
        <f t="shared" si="25"/>
        <v>6.9003645185378038E-3</v>
      </c>
      <c r="C97" s="16">
        <f t="shared" si="26"/>
        <v>5.1752733889033533E-3</v>
      </c>
      <c r="D97" s="16">
        <f t="shared" si="27"/>
        <v>1.322059758460983E-2</v>
      </c>
      <c r="E97" s="16"/>
      <c r="F97" s="36"/>
      <c r="H97" s="35" t="str">
        <f t="shared" si="19"/>
        <v>A2</v>
      </c>
      <c r="I97" s="16">
        <f t="shared" si="21"/>
        <v>1.391202523898751E-4</v>
      </c>
      <c r="J97" s="16">
        <f t="shared" si="22"/>
        <v>1.0434018929240631E-4</v>
      </c>
      <c r="K97" s="16">
        <f t="shared" si="23"/>
        <v>1.3303374134781805E-3</v>
      </c>
      <c r="L97" s="16"/>
      <c r="M97" s="36"/>
      <c r="O97" s="21">
        <f t="shared" si="24"/>
        <v>6.0247764300590277E-2</v>
      </c>
      <c r="P97" s="4"/>
      <c r="Q97" s="4"/>
      <c r="R97" s="4"/>
      <c r="S97" s="4"/>
      <c r="T97" s="4"/>
    </row>
    <row r="98" spans="1:20" ht="12.75" customHeight="1" x14ac:dyDescent="0.3">
      <c r="A98" s="35" t="str">
        <f t="shared" si="20"/>
        <v>A2</v>
      </c>
      <c r="B98" s="16">
        <f t="shared" si="25"/>
        <v>1.2242582210309006E-2</v>
      </c>
      <c r="C98" s="16">
        <f t="shared" si="26"/>
        <v>9.1819366577317561E-3</v>
      </c>
      <c r="D98" s="16">
        <f t="shared" si="27"/>
        <v>3.7249447577389051E-2</v>
      </c>
      <c r="E98" s="16"/>
      <c r="F98" s="36"/>
      <c r="H98" s="35" t="str">
        <f t="shared" si="19"/>
        <v>A1</v>
      </c>
      <c r="I98" s="16">
        <f t="shared" si="21"/>
        <v>7.8255141969304741E-3</v>
      </c>
      <c r="J98" s="16">
        <f t="shared" si="22"/>
        <v>3.2084608207414941E-3</v>
      </c>
      <c r="K98" s="16">
        <f t="shared" si="23"/>
        <v>5.6169801902412062E-3</v>
      </c>
      <c r="L98" s="16"/>
      <c r="M98" s="36"/>
      <c r="O98" s="21">
        <f t="shared" si="24"/>
        <v>6.7844425682339407E-2</v>
      </c>
      <c r="P98" s="4"/>
      <c r="Q98" s="4"/>
      <c r="R98" s="4"/>
      <c r="S98" s="4"/>
      <c r="T98" s="4"/>
    </row>
    <row r="99" spans="1:20" ht="12.75" customHeight="1" x14ac:dyDescent="0.3">
      <c r="A99" s="35" t="str">
        <f t="shared" si="20"/>
        <v>A1</v>
      </c>
      <c r="B99" s="16">
        <f t="shared" si="25"/>
        <v>2.8658771992314269E-2</v>
      </c>
      <c r="C99" s="16">
        <f t="shared" si="26"/>
        <v>1.175009651684885E-2</v>
      </c>
      <c r="D99" s="16">
        <f t="shared" si="27"/>
        <v>1.0784601965263116E-2</v>
      </c>
      <c r="E99" s="16"/>
      <c r="F99" s="36"/>
      <c r="H99" s="35" t="str">
        <f t="shared" si="19"/>
        <v>A</v>
      </c>
      <c r="I99" s="16">
        <f t="shared" si="21"/>
        <v>1.9129034703607823E-4</v>
      </c>
      <c r="J99" s="16">
        <f t="shared" si="22"/>
        <v>9.5645173518039116E-4</v>
      </c>
      <c r="K99" s="16">
        <f t="shared" si="23"/>
        <v>1.2032162828569321E-3</v>
      </c>
      <c r="L99" s="16"/>
      <c r="M99" s="36"/>
      <c r="O99" s="21">
        <f t="shared" si="24"/>
        <v>8.1950697573726278E-2</v>
      </c>
      <c r="P99" s="4"/>
      <c r="Q99" s="4"/>
      <c r="R99" s="4"/>
      <c r="S99" s="4"/>
      <c r="T99" s="4"/>
    </row>
    <row r="100" spans="1:20" ht="12.75" customHeight="1" x14ac:dyDescent="0.3">
      <c r="A100" s="35" t="str">
        <f t="shared" si="20"/>
        <v>A</v>
      </c>
      <c r="B100" s="16">
        <f t="shared" si="25"/>
        <v>7.6516138814431292E-3</v>
      </c>
      <c r="C100" s="16">
        <f t="shared" si="26"/>
        <v>3.8258069407215649E-2</v>
      </c>
      <c r="D100" s="16">
        <f t="shared" si="27"/>
        <v>3.3690055919994098E-2</v>
      </c>
      <c r="E100" s="16"/>
      <c r="F100" s="36"/>
      <c r="H100" s="35" t="str">
        <f t="shared" si="19"/>
        <v>K</v>
      </c>
      <c r="I100" s="16">
        <f t="shared" si="21"/>
        <v>5.7966771829114621E-3</v>
      </c>
      <c r="J100" s="16">
        <f t="shared" si="22"/>
        <v>2.2815721391939514E-3</v>
      </c>
      <c r="K100" s="16">
        <f t="shared" si="23"/>
        <v>4.6118363667243586E-3</v>
      </c>
      <c r="L100" s="16"/>
      <c r="M100" s="36"/>
      <c r="O100" s="21">
        <f t="shared" si="24"/>
        <v>5.2888418882709551E-2</v>
      </c>
      <c r="P100" s="4"/>
      <c r="Q100" s="4"/>
      <c r="R100" s="4"/>
      <c r="S100" s="4"/>
      <c r="T100" s="4"/>
    </row>
    <row r="101" spans="1:20" ht="12.75" customHeight="1" x14ac:dyDescent="0.3">
      <c r="A101" s="35" t="str">
        <f t="shared" si="20"/>
        <v>K</v>
      </c>
      <c r="B101" s="16">
        <f t="shared" si="25"/>
        <v>2.2491107469696472E-2</v>
      </c>
      <c r="C101" s="16">
        <f t="shared" si="26"/>
        <v>8.8524999000725319E-3</v>
      </c>
      <c r="D101" s="16">
        <f t="shared" si="27"/>
        <v>8.85472582411077E-3</v>
      </c>
      <c r="E101" s="16"/>
      <c r="F101" s="36"/>
      <c r="H101" s="35" t="str">
        <f t="shared" si="19"/>
        <v>Q</v>
      </c>
      <c r="I101" s="16">
        <f t="shared" si="21"/>
        <v>1.5940862253006519E-4</v>
      </c>
      <c r="J101" s="16">
        <f t="shared" si="22"/>
        <v>6.2743233827833661E-5</v>
      </c>
      <c r="K101" s="16">
        <f t="shared" si="23"/>
        <v>1.1967124110577054E-3</v>
      </c>
      <c r="L101" s="16"/>
      <c r="M101" s="36"/>
      <c r="O101" s="21">
        <f t="shared" si="24"/>
        <v>6.7805286518000399E-2</v>
      </c>
      <c r="P101" s="4"/>
      <c r="Q101" s="4"/>
      <c r="R101" s="4"/>
      <c r="S101" s="4"/>
      <c r="T101" s="4"/>
    </row>
    <row r="102" spans="1:20" ht="12.75" customHeight="1" x14ac:dyDescent="0.3">
      <c r="A102" s="35" t="str">
        <f t="shared" si="20"/>
        <v>Q</v>
      </c>
      <c r="B102" s="16">
        <f t="shared" si="25"/>
        <v>2.359247613444965E-2</v>
      </c>
      <c r="C102" s="16">
        <f t="shared" si="26"/>
        <v>9.2859986065193818E-3</v>
      </c>
      <c r="D102" s="16">
        <f t="shared" si="27"/>
        <v>3.3507947509615756E-2</v>
      </c>
      <c r="E102" s="16"/>
      <c r="F102" s="36"/>
      <c r="H102" s="35" t="str">
        <f t="shared" si="19"/>
        <v>J</v>
      </c>
      <c r="I102" s="96">
        <f t="shared" si="21"/>
        <v>1.9129034703607825E-5</v>
      </c>
      <c r="J102" s="16">
        <f t="shared" si="22"/>
        <v>9.5645173518039113E-5</v>
      </c>
      <c r="K102" s="16">
        <f t="shared" si="23"/>
        <v>1.3463014624399187E-3</v>
      </c>
      <c r="L102" s="16"/>
      <c r="M102" s="36"/>
      <c r="O102" s="21">
        <f t="shared" si="24"/>
        <v>4.3342949412128684E-2</v>
      </c>
      <c r="P102" s="4"/>
      <c r="Q102" s="4"/>
      <c r="R102" s="4"/>
      <c r="S102" s="4"/>
      <c r="T102" s="4"/>
    </row>
    <row r="103" spans="1:20" ht="12.75" customHeight="1" x14ac:dyDescent="0.3">
      <c r="A103" s="35" t="str">
        <f t="shared" si="20"/>
        <v>J</v>
      </c>
      <c r="B103" s="16">
        <f t="shared" si="25"/>
        <v>2.1934626460136972E-3</v>
      </c>
      <c r="C103" s="16">
        <f t="shared" si="26"/>
        <v>1.0967313230068486E-2</v>
      </c>
      <c r="D103" s="16">
        <f t="shared" si="27"/>
        <v>2.8721097865384931E-2</v>
      </c>
      <c r="E103" s="16"/>
      <c r="F103" s="36"/>
      <c r="H103" s="35" t="str">
        <f t="shared" si="19"/>
        <v>T</v>
      </c>
      <c r="I103" s="16">
        <f t="shared" si="21"/>
        <v>2.0868037858481261E-3</v>
      </c>
      <c r="J103" s="16">
        <f t="shared" si="22"/>
        <v>5.1126692753279092E-3</v>
      </c>
      <c r="K103" s="16">
        <f t="shared" si="23"/>
        <v>1.0908766790521079E-2</v>
      </c>
      <c r="L103" s="16"/>
      <c r="M103" s="36"/>
      <c r="O103" s="21">
        <f t="shared" si="24"/>
        <v>7.1690683300162289E-2</v>
      </c>
      <c r="P103" s="4"/>
      <c r="Q103" s="4"/>
      <c r="R103" s="4"/>
      <c r="S103" s="4"/>
      <c r="T103" s="4"/>
    </row>
    <row r="104" spans="1:20" ht="12.75" customHeight="1" x14ac:dyDescent="0.3">
      <c r="A104" s="35" t="str">
        <f t="shared" si="20"/>
        <v>T</v>
      </c>
      <c r="B104" s="16">
        <f t="shared" si="25"/>
        <v>9.4601771625115062E-3</v>
      </c>
      <c r="C104" s="16">
        <f t="shared" si="26"/>
        <v>2.317743404815319E-2</v>
      </c>
      <c r="D104" s="16">
        <f t="shared" si="27"/>
        <v>2.0944832237800474E-2</v>
      </c>
      <c r="E104" s="16"/>
      <c r="F104" s="36"/>
      <c r="H104" s="35" t="str">
        <f t="shared" si="19"/>
        <v>S</v>
      </c>
      <c r="I104" s="16">
        <f t="shared" si="21"/>
        <v>2.3743189741205349E-3</v>
      </c>
      <c r="J104" s="16">
        <f t="shared" si="22"/>
        <v>9.3266217202172264E-3</v>
      </c>
      <c r="K104" s="16">
        <f t="shared" si="23"/>
        <v>2.566638811024298E-2</v>
      </c>
      <c r="L104" s="16">
        <f>L35*E35/$C$80</f>
        <v>0.12989249879568959</v>
      </c>
      <c r="M104" s="36"/>
      <c r="O104" s="21">
        <f>SUM(I104:L104)</f>
        <v>0.16725982760027033</v>
      </c>
      <c r="P104" s="4"/>
      <c r="Q104" s="4"/>
      <c r="R104" s="4"/>
      <c r="S104" s="4"/>
      <c r="T104" s="4"/>
    </row>
    <row r="105" spans="1:20" ht="12.75" customHeight="1" thickBot="1" x14ac:dyDescent="0.35">
      <c r="A105" s="37" t="s">
        <v>49</v>
      </c>
      <c r="B105" s="38">
        <f>SUM(B94:B104)</f>
        <v>0.12812279643845545</v>
      </c>
      <c r="C105" s="38">
        <f>SUM(C94:C104)</f>
        <v>0.13553187734656558</v>
      </c>
      <c r="D105" s="38">
        <f>SUM(D94:D104)</f>
        <v>0.24770764386749186</v>
      </c>
      <c r="E105" s="38">
        <f>SUM(E94:E104)</f>
        <v>2.0746168517387732E-2</v>
      </c>
      <c r="F105" s="39">
        <f>SUM(F94:F104)</f>
        <v>0</v>
      </c>
      <c r="H105" s="37" t="s">
        <v>49</v>
      </c>
      <c r="I105" s="38">
        <f>SUM(I94:I104)</f>
        <v>1.9612477580662639E-2</v>
      </c>
      <c r="J105" s="38">
        <f>SUM(J94:J104)</f>
        <v>2.2015687193862807E-2</v>
      </c>
      <c r="K105" s="38">
        <f>SUM(K94:K104)</f>
        <v>5.8197572327829419E-2</v>
      </c>
      <c r="L105" s="38">
        <f>SUM(L94:L104)</f>
        <v>0.13507904092503653</v>
      </c>
      <c r="M105" s="39">
        <f>SUM(M94:M104)</f>
        <v>0</v>
      </c>
      <c r="O105" s="87">
        <f>SUM(O93:O104)</f>
        <v>0.76701326419729199</v>
      </c>
      <c r="P105" s="4"/>
      <c r="Q105" s="4"/>
      <c r="R105" s="4"/>
      <c r="S105" s="4"/>
      <c r="T105" s="4"/>
    </row>
    <row r="106" spans="1:20" ht="12.75" customHeight="1" x14ac:dyDescent="0.3">
      <c r="H106" s="21"/>
      <c r="O106" s="20"/>
      <c r="P106" s="4"/>
      <c r="Q106" s="4"/>
      <c r="R106" s="4"/>
      <c r="S106" s="4"/>
      <c r="T106" s="4"/>
    </row>
  </sheetData>
  <phoneticPr fontId="0" type="noConversion"/>
  <pageMargins left="0.75" right="0.75" top="1" bottom="1" header="0.5" footer="0.5"/>
  <pageSetup paperSize="9" scale="87" orientation="landscape" r:id="rId1"/>
  <headerFooter alignWithMargins="0"/>
  <rowBreaks count="1" manualBreakCount="1">
    <brk id="35" max="16383" man="1"/>
  </rowBreaks>
  <colBreaks count="1" manualBreakCount="1">
    <brk id="7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109"/>
  <sheetViews>
    <sheetView zoomScale="55" zoomScaleNormal="55" workbookViewId="0">
      <selection activeCell="J7" sqref="J7"/>
    </sheetView>
  </sheetViews>
  <sheetFormatPr defaultRowHeight="12.5" x14ac:dyDescent="0.25"/>
  <cols>
    <col min="1" max="1" width="22.81640625" customWidth="1"/>
    <col min="2" max="2" width="19.1796875" customWidth="1"/>
    <col min="3" max="3" width="12.7265625" customWidth="1"/>
    <col min="4" max="4" width="17.26953125" customWidth="1"/>
    <col min="5" max="7" width="12.7265625" customWidth="1"/>
    <col min="8" max="13" width="16.453125" customWidth="1"/>
    <col min="15" max="20" width="9.26953125" bestFit="1" customWidth="1"/>
  </cols>
  <sheetData>
    <row r="1" spans="1:13" s="2" customFormat="1" ht="14.15" customHeight="1" x14ac:dyDescent="0.3">
      <c r="A1" s="145" t="s">
        <v>0</v>
      </c>
      <c r="B1" s="4" t="str">
        <f>'Game summary'!D3</f>
        <v>Mad Mad Monkey</v>
      </c>
      <c r="K1" s="147"/>
      <c r="L1" s="147"/>
    </row>
    <row r="2" spans="1:13" s="2" customFormat="1" ht="14.15" customHeight="1" x14ac:dyDescent="0.3">
      <c r="A2" s="145" t="s">
        <v>2</v>
      </c>
      <c r="B2" s="4" t="str">
        <f>'Game summary'!D4</f>
        <v xml:space="preserve">5 x 4 layout (5 reel, 4 slots) </v>
      </c>
      <c r="K2" s="147"/>
      <c r="L2" s="147"/>
    </row>
    <row r="3" spans="1:13" s="2" customFormat="1" ht="14.15" customHeight="1" x14ac:dyDescent="0.3">
      <c r="A3" s="146"/>
      <c r="B3" s="4"/>
      <c r="E3" s="145"/>
      <c r="F3" s="145"/>
      <c r="G3" s="145"/>
      <c r="H3" s="145"/>
      <c r="I3" s="145"/>
      <c r="J3" s="147"/>
      <c r="K3" s="145"/>
      <c r="L3" s="145"/>
    </row>
    <row r="4" spans="1:13" s="2" customFormat="1" ht="13" x14ac:dyDescent="0.3">
      <c r="A4" s="146"/>
      <c r="B4" s="49"/>
    </row>
    <row r="5" spans="1:13" s="2" customFormat="1" ht="13" x14ac:dyDescent="0.3">
      <c r="A5" s="146"/>
      <c r="B5" s="1"/>
    </row>
    <row r="6" spans="1:13" s="2" customFormat="1" ht="13.5" thickBot="1" x14ac:dyDescent="0.35">
      <c r="A6" s="146"/>
      <c r="B6" s="77"/>
      <c r="C6" s="77"/>
      <c r="D6" s="77"/>
      <c r="E6" s="77"/>
      <c r="F6" s="77"/>
    </row>
    <row r="7" spans="1:13" ht="13" x14ac:dyDescent="0.3">
      <c r="A7" s="40" t="s">
        <v>66</v>
      </c>
      <c r="B7" s="78"/>
      <c r="C7" s="78"/>
      <c r="D7" s="78"/>
      <c r="E7" s="78"/>
      <c r="F7" s="79"/>
    </row>
    <row r="8" spans="1:13" ht="13" x14ac:dyDescent="0.3">
      <c r="A8" s="43" t="s">
        <v>13</v>
      </c>
      <c r="B8" s="20" t="s">
        <v>14</v>
      </c>
      <c r="C8" s="20" t="s">
        <v>15</v>
      </c>
      <c r="D8" s="20" t="s">
        <v>16</v>
      </c>
      <c r="E8" s="20" t="s">
        <v>17</v>
      </c>
      <c r="F8" s="44" t="s">
        <v>18</v>
      </c>
    </row>
    <row r="9" spans="1:13" x14ac:dyDescent="0.25">
      <c r="A9" s="35" t="str">
        <f>'Game summary'!P9</f>
        <v>W</v>
      </c>
      <c r="B9" s="16">
        <f>'Game summary'!Q9</f>
        <v>0</v>
      </c>
      <c r="C9" s="16">
        <f>'Game summary'!R9</f>
        <v>4</v>
      </c>
      <c r="D9" s="16">
        <f>'Game summary'!S9</f>
        <v>4</v>
      </c>
      <c r="E9" s="16">
        <f>'Game summary'!T9</f>
        <v>4</v>
      </c>
      <c r="F9" s="36">
        <f>'Game summary'!U9</f>
        <v>0</v>
      </c>
      <c r="G9" t="s">
        <v>67</v>
      </c>
      <c r="I9" s="16"/>
      <c r="J9" s="16"/>
      <c r="K9" s="16"/>
      <c r="L9" s="16"/>
      <c r="M9" s="16"/>
    </row>
    <row r="10" spans="1:13" x14ac:dyDescent="0.25">
      <c r="A10" s="35" t="str">
        <f>'Game summary'!P10</f>
        <v>G1</v>
      </c>
      <c r="B10" s="16">
        <f>'Game summary'!Q10</f>
        <v>4</v>
      </c>
      <c r="C10" s="16">
        <f>'Game summary'!R10</f>
        <v>4</v>
      </c>
      <c r="D10" s="16">
        <f>'Game summary'!S10</f>
        <v>4</v>
      </c>
      <c r="E10" s="16">
        <f>'Game summary'!T10</f>
        <v>4</v>
      </c>
      <c r="F10" s="36">
        <f>'Game summary'!U10</f>
        <v>4</v>
      </c>
      <c r="I10" s="16"/>
      <c r="J10" s="16"/>
      <c r="K10" s="16"/>
      <c r="L10" s="16"/>
      <c r="M10" s="16"/>
    </row>
    <row r="11" spans="1:13" x14ac:dyDescent="0.25">
      <c r="A11" s="35" t="str">
        <f>'Game summary'!P11</f>
        <v>G2</v>
      </c>
      <c r="B11" s="16">
        <f>'Game summary'!Q11</f>
        <v>1</v>
      </c>
      <c r="C11" s="16">
        <f>'Game summary'!R11</f>
        <v>6</v>
      </c>
      <c r="D11" s="16">
        <f>'Game summary'!S11</f>
        <v>5</v>
      </c>
      <c r="E11" s="16">
        <f>'Game summary'!T11</f>
        <v>3</v>
      </c>
      <c r="F11" s="36">
        <f>'Game summary'!U11</f>
        <v>3</v>
      </c>
      <c r="H11" s="60"/>
      <c r="I11" s="16"/>
      <c r="J11" s="16"/>
      <c r="K11" s="16"/>
      <c r="L11" s="16"/>
      <c r="M11" s="16"/>
    </row>
    <row r="12" spans="1:13" x14ac:dyDescent="0.25">
      <c r="A12" s="35" t="str">
        <f>'Game summary'!P12</f>
        <v>A3</v>
      </c>
      <c r="B12" s="16">
        <f>'Game summary'!Q12</f>
        <v>3</v>
      </c>
      <c r="C12" s="16">
        <f>'Game summary'!R12</f>
        <v>3</v>
      </c>
      <c r="D12" s="16">
        <f>'Game summary'!S12</f>
        <v>4</v>
      </c>
      <c r="E12" s="16">
        <f>'Game summary'!T12</f>
        <v>6</v>
      </c>
      <c r="F12" s="36">
        <f>'Game summary'!U12</f>
        <v>5</v>
      </c>
      <c r="H12" s="52"/>
      <c r="I12" s="16"/>
      <c r="J12" s="16"/>
      <c r="K12" s="16"/>
      <c r="L12" s="16"/>
      <c r="M12" s="16"/>
    </row>
    <row r="13" spans="1:13" x14ac:dyDescent="0.25">
      <c r="A13" s="35" t="str">
        <f>'Game summary'!P13</f>
        <v>A2</v>
      </c>
      <c r="B13" s="16">
        <f>'Game summary'!Q13</f>
        <v>7</v>
      </c>
      <c r="C13" s="16">
        <f>'Game summary'!R13</f>
        <v>1</v>
      </c>
      <c r="D13" s="16">
        <f>'Game summary'!S13</f>
        <v>1</v>
      </c>
      <c r="E13" s="16">
        <f>'Game summary'!T13</f>
        <v>1</v>
      </c>
      <c r="F13" s="36">
        <f>'Game summary'!U13</f>
        <v>3</v>
      </c>
      <c r="H13" s="52"/>
      <c r="I13" s="52"/>
      <c r="J13" s="16"/>
      <c r="K13" s="16"/>
      <c r="L13" s="16"/>
      <c r="M13" s="16"/>
    </row>
    <row r="14" spans="1:13" x14ac:dyDescent="0.25">
      <c r="A14" s="35" t="str">
        <f>'Game summary'!P14</f>
        <v>A1</v>
      </c>
      <c r="B14" s="16">
        <f>'Game summary'!Q14</f>
        <v>1</v>
      </c>
      <c r="C14" s="16">
        <f>'Game summary'!R14</f>
        <v>8</v>
      </c>
      <c r="D14" s="16">
        <f>'Game summary'!S14</f>
        <v>10</v>
      </c>
      <c r="E14" s="16">
        <f>'Game summary'!T14</f>
        <v>7</v>
      </c>
      <c r="F14" s="36">
        <f>'Game summary'!U14</f>
        <v>3</v>
      </c>
      <c r="I14" s="16"/>
      <c r="J14" s="16"/>
      <c r="K14" s="16"/>
      <c r="L14" s="16"/>
      <c r="M14" s="16"/>
    </row>
    <row r="15" spans="1:13" x14ac:dyDescent="0.25">
      <c r="A15" s="35" t="str">
        <f>'Game summary'!P15</f>
        <v>A</v>
      </c>
      <c r="B15" s="16">
        <f>'Game summary'!Q15</f>
        <v>10</v>
      </c>
      <c r="C15" s="16">
        <f>'Game summary'!R15</f>
        <v>1</v>
      </c>
      <c r="D15" s="16">
        <f>'Game summary'!S15</f>
        <v>1</v>
      </c>
      <c r="E15" s="16">
        <f>'Game summary'!T15</f>
        <v>6</v>
      </c>
      <c r="F15" s="36">
        <f>'Game summary'!U15</f>
        <v>5</v>
      </c>
      <c r="I15" s="16"/>
      <c r="J15" s="16"/>
      <c r="K15" s="16"/>
      <c r="L15" s="16"/>
      <c r="M15" s="16"/>
    </row>
    <row r="16" spans="1:13" x14ac:dyDescent="0.25">
      <c r="A16" s="35" t="str">
        <f>'Game summary'!P16</f>
        <v>K</v>
      </c>
      <c r="B16" s="16">
        <f>'Game summary'!Q16</f>
        <v>2</v>
      </c>
      <c r="C16" s="16">
        <f>'Game summary'!R16</f>
        <v>10</v>
      </c>
      <c r="D16" s="16">
        <f>'Game summary'!S16</f>
        <v>10</v>
      </c>
      <c r="E16" s="16">
        <f>'Game summary'!T16</f>
        <v>7</v>
      </c>
      <c r="F16" s="36">
        <f>'Game summary'!U16</f>
        <v>9</v>
      </c>
      <c r="H16" s="31"/>
      <c r="I16" s="16"/>
      <c r="J16" s="16"/>
      <c r="K16" s="16"/>
      <c r="L16" s="16"/>
      <c r="M16" s="16"/>
    </row>
    <row r="17" spans="1:13" x14ac:dyDescent="0.25">
      <c r="A17" s="35" t="str">
        <f>'Game summary'!P17</f>
        <v>Q</v>
      </c>
      <c r="B17" s="16">
        <f>'Game summary'!Q17</f>
        <v>9</v>
      </c>
      <c r="C17" s="16">
        <f>'Game summary'!R17</f>
        <v>2</v>
      </c>
      <c r="D17" s="16">
        <f>'Game summary'!S17</f>
        <v>1</v>
      </c>
      <c r="E17" s="16">
        <f>'Game summary'!T17</f>
        <v>1</v>
      </c>
      <c r="F17" s="36">
        <f>'Game summary'!U17</f>
        <v>10</v>
      </c>
      <c r="H17" s="51"/>
      <c r="I17" s="16"/>
      <c r="J17" s="16"/>
      <c r="K17" s="16"/>
      <c r="L17" s="16"/>
      <c r="M17" s="16"/>
    </row>
    <row r="18" spans="1:13" x14ac:dyDescent="0.25">
      <c r="A18" s="35" t="str">
        <f>'Game summary'!P18</f>
        <v>J</v>
      </c>
      <c r="B18" s="16">
        <f>'Game summary'!Q18</f>
        <v>9</v>
      </c>
      <c r="C18" s="16">
        <f>'Game summary'!R18</f>
        <v>1</v>
      </c>
      <c r="D18" s="16">
        <f>'Game summary'!S18</f>
        <v>4</v>
      </c>
      <c r="E18" s="16">
        <f>'Game summary'!T18</f>
        <v>1</v>
      </c>
      <c r="F18" s="36">
        <f>'Game summary'!U18</f>
        <v>6</v>
      </c>
      <c r="H18" s="51"/>
      <c r="I18" s="16"/>
      <c r="J18" s="16"/>
      <c r="K18" s="16"/>
      <c r="L18" s="16"/>
      <c r="M18" s="16"/>
    </row>
    <row r="19" spans="1:13" x14ac:dyDescent="0.25">
      <c r="A19" s="35" t="str">
        <f>'Game summary'!P19</f>
        <v>T</v>
      </c>
      <c r="B19" s="16">
        <f>'Game summary'!Q19</f>
        <v>4</v>
      </c>
      <c r="C19" s="16">
        <f>'Game summary'!R19</f>
        <v>10</v>
      </c>
      <c r="D19" s="16">
        <f>'Game summary'!S19</f>
        <v>6</v>
      </c>
      <c r="E19" s="16">
        <f>'Game summary'!T19</f>
        <v>10</v>
      </c>
      <c r="F19" s="36">
        <f>'Game summary'!U19</f>
        <v>2</v>
      </c>
      <c r="I19" s="16"/>
      <c r="J19" s="16"/>
      <c r="K19" s="16"/>
      <c r="L19" s="16"/>
      <c r="M19" s="16"/>
    </row>
    <row r="20" spans="1:13" x14ac:dyDescent="0.25">
      <c r="A20" s="35" t="str">
        <f>'Game summary'!P20</f>
        <v>S</v>
      </c>
      <c r="B20" s="16">
        <f>'Game summary'!Q20</f>
        <v>1</v>
      </c>
      <c r="C20" s="16">
        <f>'Game summary'!R20</f>
        <v>1</v>
      </c>
      <c r="D20" s="16">
        <f>'Game summary'!S20</f>
        <v>1</v>
      </c>
      <c r="E20" s="16">
        <f>'Game summary'!T20</f>
        <v>1</v>
      </c>
      <c r="F20" s="36">
        <f>'Game summary'!U20</f>
        <v>1</v>
      </c>
      <c r="G20" t="s">
        <v>68</v>
      </c>
      <c r="K20" s="16"/>
      <c r="L20" s="16"/>
      <c r="M20" s="16"/>
    </row>
    <row r="21" spans="1:13" ht="13.5" thickBot="1" x14ac:dyDescent="0.35">
      <c r="A21" s="37" t="s">
        <v>49</v>
      </c>
      <c r="B21" s="38">
        <f>SUM(B9:B20)</f>
        <v>51</v>
      </c>
      <c r="C21" s="38">
        <f>SUM(C9:C20)</f>
        <v>51</v>
      </c>
      <c r="D21" s="38">
        <f>SUM(D9:D20)</f>
        <v>51</v>
      </c>
      <c r="E21" s="38">
        <f>SUM(E9:E20)</f>
        <v>51</v>
      </c>
      <c r="F21" s="39">
        <f>SUM(F9:F20)</f>
        <v>51</v>
      </c>
      <c r="H21" s="74"/>
      <c r="I21" s="75"/>
    </row>
    <row r="22" spans="1:13" ht="13" thickBot="1" x14ac:dyDescent="0.3"/>
    <row r="23" spans="1:13" ht="13" x14ac:dyDescent="0.3">
      <c r="A23" s="40" t="s">
        <v>69</v>
      </c>
      <c r="B23" s="41"/>
      <c r="C23" s="41"/>
      <c r="D23" s="41"/>
      <c r="E23" s="41"/>
      <c r="F23" s="42"/>
      <c r="H23" s="40" t="s">
        <v>70</v>
      </c>
      <c r="I23" s="41"/>
      <c r="J23" s="41"/>
      <c r="K23" s="41"/>
      <c r="L23" s="41"/>
      <c r="M23" s="42"/>
    </row>
    <row r="24" spans="1:13" ht="13" x14ac:dyDescent="0.3">
      <c r="A24" s="43" t="s">
        <v>13</v>
      </c>
      <c r="B24" s="20" t="s">
        <v>71</v>
      </c>
      <c r="C24" s="20" t="s">
        <v>72</v>
      </c>
      <c r="D24" s="20" t="s">
        <v>73</v>
      </c>
      <c r="E24" s="20" t="s">
        <v>74</v>
      </c>
      <c r="F24" s="44" t="s">
        <v>75</v>
      </c>
      <c r="H24" s="43" t="s">
        <v>13</v>
      </c>
      <c r="I24" s="20" t="s">
        <v>71</v>
      </c>
      <c r="J24" s="20" t="s">
        <v>72</v>
      </c>
      <c r="K24" s="20" t="s">
        <v>73</v>
      </c>
      <c r="L24" s="20" t="s">
        <v>74</v>
      </c>
      <c r="M24" s="44" t="s">
        <v>75</v>
      </c>
    </row>
    <row r="25" spans="1:13" x14ac:dyDescent="0.25">
      <c r="A25" s="35" t="str">
        <f t="shared" ref="A25:A35" si="0">A10</f>
        <v>G1</v>
      </c>
      <c r="B25" s="16">
        <f>'Base Game Calculations'!B25*$C$82</f>
        <v>3000</v>
      </c>
      <c r="C25" s="16">
        <f>'Base Game Calculations'!C25*$C$82</f>
        <v>150</v>
      </c>
      <c r="D25" s="16">
        <f>'Base Game Calculations'!D25*$C$82</f>
        <v>72</v>
      </c>
      <c r="E25" s="16">
        <f>'Base Game Calculations'!E25*$C$82</f>
        <v>12</v>
      </c>
      <c r="F25" s="36"/>
      <c r="H25" s="35" t="str">
        <f t="shared" ref="H25:H35" si="1">A25</f>
        <v>G1</v>
      </c>
      <c r="I25" s="149">
        <f t="shared" ref="I25:I34" si="2">((B10)*(C10)*(D10)*(E10)*(F10))</f>
        <v>1024</v>
      </c>
      <c r="J25" s="149">
        <f t="shared" ref="J25:J34" si="3">((B10)*(C10)*(D10)*(E10)*(F$21-(F$9+F10)))</f>
        <v>12032</v>
      </c>
      <c r="K25" s="149">
        <f t="shared" ref="K25:K34" si="4">((B10)*(C10)*(D10)*(E$21-(E$9+E10))*(F$21))</f>
        <v>140352</v>
      </c>
      <c r="L25" s="149">
        <f>((B10)*(C10)*(D21-(D9+D10))*(E$21)*(F$21))</f>
        <v>1789488</v>
      </c>
      <c r="M25" s="36"/>
    </row>
    <row r="26" spans="1:13" x14ac:dyDescent="0.25">
      <c r="A26" s="35" t="str">
        <f t="shared" si="0"/>
        <v>G2</v>
      </c>
      <c r="B26" s="16">
        <f>'Base Game Calculations'!B26*$C$82</f>
        <v>3000</v>
      </c>
      <c r="C26" s="16">
        <f>'Base Game Calculations'!C26*$C$82</f>
        <v>150</v>
      </c>
      <c r="D26" s="16">
        <f>'Base Game Calculations'!D26*$C$82</f>
        <v>72</v>
      </c>
      <c r="E26" s="16"/>
      <c r="F26" s="36"/>
      <c r="H26" s="35" t="str">
        <f t="shared" si="1"/>
        <v>G2</v>
      </c>
      <c r="I26" s="149">
        <f t="shared" si="2"/>
        <v>270</v>
      </c>
      <c r="J26" s="149">
        <f t="shared" si="3"/>
        <v>4320</v>
      </c>
      <c r="K26" s="149">
        <f t="shared" si="4"/>
        <v>67320</v>
      </c>
      <c r="L26" s="149"/>
      <c r="M26" s="36"/>
    </row>
    <row r="27" spans="1:13" x14ac:dyDescent="0.25">
      <c r="A27" s="35" t="str">
        <f t="shared" si="0"/>
        <v>A3</v>
      </c>
      <c r="B27" s="16">
        <f>'Base Game Calculations'!B27*$C$82</f>
        <v>1200</v>
      </c>
      <c r="C27" s="16">
        <f>'Base Game Calculations'!C27*$C$82</f>
        <v>120</v>
      </c>
      <c r="D27" s="16">
        <f>'Base Game Calculations'!D27*$C$82</f>
        <v>60</v>
      </c>
      <c r="E27" s="16"/>
      <c r="F27" s="36"/>
      <c r="H27" s="35" t="str">
        <f t="shared" si="1"/>
        <v>A3</v>
      </c>
      <c r="I27" s="149">
        <f t="shared" si="2"/>
        <v>1080</v>
      </c>
      <c r="J27" s="149">
        <f t="shared" si="3"/>
        <v>9936</v>
      </c>
      <c r="K27" s="149">
        <f t="shared" si="4"/>
        <v>75276</v>
      </c>
      <c r="L27" s="149"/>
      <c r="M27" s="36"/>
    </row>
    <row r="28" spans="1:13" x14ac:dyDescent="0.25">
      <c r="A28" s="35" t="str">
        <f t="shared" si="0"/>
        <v>A2</v>
      </c>
      <c r="B28" s="16">
        <f>'Base Game Calculations'!B28*$C$82</f>
        <v>1200</v>
      </c>
      <c r="C28" s="16">
        <f>'Base Game Calculations'!C28*$C$82</f>
        <v>120</v>
      </c>
      <c r="D28" s="16">
        <f>'Base Game Calculations'!D28*$C$82</f>
        <v>60</v>
      </c>
      <c r="E28" s="16"/>
      <c r="F28" s="36"/>
      <c r="H28" s="35" t="str">
        <f t="shared" si="1"/>
        <v>A2</v>
      </c>
      <c r="I28" s="149">
        <f t="shared" si="2"/>
        <v>21</v>
      </c>
      <c r="J28" s="149">
        <f t="shared" si="3"/>
        <v>336</v>
      </c>
      <c r="K28" s="149">
        <f t="shared" si="4"/>
        <v>16422</v>
      </c>
      <c r="L28" s="149"/>
      <c r="M28" s="36"/>
    </row>
    <row r="29" spans="1:13" x14ac:dyDescent="0.25">
      <c r="A29" s="35" t="str">
        <f t="shared" si="0"/>
        <v>A1</v>
      </c>
      <c r="B29" s="16">
        <f>'Base Game Calculations'!B29*$C$82</f>
        <v>900</v>
      </c>
      <c r="C29" s="16">
        <f>'Base Game Calculations'!C29*$C$82</f>
        <v>90</v>
      </c>
      <c r="D29" s="16">
        <f>'Base Game Calculations'!D29*$C$82</f>
        <v>30</v>
      </c>
      <c r="E29" s="16"/>
      <c r="F29" s="36"/>
      <c r="H29" s="35" t="str">
        <f t="shared" si="1"/>
        <v>A1</v>
      </c>
      <c r="I29" s="149">
        <f t="shared" si="2"/>
        <v>1680</v>
      </c>
      <c r="J29" s="149">
        <f t="shared" si="3"/>
        <v>26880</v>
      </c>
      <c r="K29" s="149">
        <f t="shared" si="4"/>
        <v>163200</v>
      </c>
      <c r="L29" s="149"/>
      <c r="M29" s="36"/>
    </row>
    <row r="30" spans="1:13" x14ac:dyDescent="0.25">
      <c r="A30" s="35" t="str">
        <f t="shared" si="0"/>
        <v>A</v>
      </c>
      <c r="B30" s="16">
        <f>'Base Game Calculations'!B30*$C$82</f>
        <v>900</v>
      </c>
      <c r="C30" s="16">
        <f>'Base Game Calculations'!C30*$C$82</f>
        <v>90</v>
      </c>
      <c r="D30" s="16">
        <f>'Base Game Calculations'!D30*$C$82</f>
        <v>30</v>
      </c>
      <c r="E30" s="16"/>
      <c r="F30" s="36"/>
      <c r="H30" s="35" t="str">
        <f t="shared" si="1"/>
        <v>A</v>
      </c>
      <c r="I30" s="149">
        <f t="shared" si="2"/>
        <v>300</v>
      </c>
      <c r="J30" s="149">
        <f t="shared" si="3"/>
        <v>2760</v>
      </c>
      <c r="K30" s="149">
        <f t="shared" si="4"/>
        <v>20910</v>
      </c>
      <c r="L30" s="149"/>
      <c r="M30" s="36"/>
    </row>
    <row r="31" spans="1:13" x14ac:dyDescent="0.25">
      <c r="A31" s="35" t="str">
        <f t="shared" si="0"/>
        <v>K</v>
      </c>
      <c r="B31" s="16">
        <f>'Base Game Calculations'!B31*$C$82</f>
        <v>750</v>
      </c>
      <c r="C31" s="16">
        <f>'Base Game Calculations'!C31*$C$82</f>
        <v>72</v>
      </c>
      <c r="D31" s="16">
        <f>'Base Game Calculations'!D31*$C$82</f>
        <v>24</v>
      </c>
      <c r="E31" s="16"/>
      <c r="F31" s="36"/>
      <c r="H31" s="35" t="str">
        <f t="shared" si="1"/>
        <v>K</v>
      </c>
      <c r="I31" s="149">
        <f t="shared" si="2"/>
        <v>12600</v>
      </c>
      <c r="J31" s="149">
        <f t="shared" si="3"/>
        <v>58800</v>
      </c>
      <c r="K31" s="149">
        <f t="shared" si="4"/>
        <v>408000</v>
      </c>
      <c r="L31" s="149"/>
      <c r="M31" s="36"/>
    </row>
    <row r="32" spans="1:13" x14ac:dyDescent="0.25">
      <c r="A32" s="35" t="str">
        <f t="shared" si="0"/>
        <v>Q</v>
      </c>
      <c r="B32" s="16">
        <f>'Base Game Calculations'!B32*$C$82</f>
        <v>750</v>
      </c>
      <c r="C32" s="16">
        <f>'Base Game Calculations'!C32*$C$82</f>
        <v>72</v>
      </c>
      <c r="D32" s="16">
        <f>'Base Game Calculations'!D32*$C$82</f>
        <v>24</v>
      </c>
      <c r="E32" s="16"/>
      <c r="F32" s="36"/>
      <c r="H32" s="35" t="str">
        <f t="shared" si="1"/>
        <v>Q</v>
      </c>
      <c r="I32" s="149">
        <f t="shared" si="2"/>
        <v>180</v>
      </c>
      <c r="J32" s="149">
        <f t="shared" si="3"/>
        <v>738</v>
      </c>
      <c r="K32" s="149">
        <f t="shared" si="4"/>
        <v>42228</v>
      </c>
      <c r="L32" s="149"/>
      <c r="M32" s="36"/>
    </row>
    <row r="33" spans="1:13" x14ac:dyDescent="0.25">
      <c r="A33" s="35" t="str">
        <f t="shared" si="0"/>
        <v>J</v>
      </c>
      <c r="B33" s="16">
        <f>'Base Game Calculations'!B33*$C$82</f>
        <v>600</v>
      </c>
      <c r="C33" s="16">
        <f>'Base Game Calculations'!C33*$C$82</f>
        <v>60</v>
      </c>
      <c r="D33" s="16">
        <f>'Base Game Calculations'!D33*$C$82</f>
        <v>18</v>
      </c>
      <c r="E33" s="16"/>
      <c r="F33" s="36"/>
      <c r="H33" s="35" t="str">
        <f t="shared" si="1"/>
        <v>J</v>
      </c>
      <c r="I33" s="149">
        <f t="shared" si="2"/>
        <v>216</v>
      </c>
      <c r="J33" s="149">
        <f t="shared" si="3"/>
        <v>1620</v>
      </c>
      <c r="K33" s="149">
        <f t="shared" si="4"/>
        <v>84456</v>
      </c>
      <c r="L33" s="149"/>
      <c r="M33" s="36"/>
    </row>
    <row r="34" spans="1:13" x14ac:dyDescent="0.25">
      <c r="A34" s="35" t="str">
        <f t="shared" si="0"/>
        <v>T</v>
      </c>
      <c r="B34" s="16">
        <f>'Base Game Calculations'!B34*$C$82</f>
        <v>600</v>
      </c>
      <c r="C34" s="16">
        <f>'Base Game Calculations'!C34*$C$82</f>
        <v>60</v>
      </c>
      <c r="D34" s="16">
        <f>'Base Game Calculations'!D34*$C$82</f>
        <v>18</v>
      </c>
      <c r="E34" s="16"/>
      <c r="F34" s="36"/>
      <c r="H34" s="35" t="str">
        <f t="shared" si="1"/>
        <v>T</v>
      </c>
      <c r="I34" s="149">
        <f t="shared" si="2"/>
        <v>4800</v>
      </c>
      <c r="J34" s="149">
        <f t="shared" si="3"/>
        <v>117600</v>
      </c>
      <c r="K34" s="149">
        <f t="shared" si="4"/>
        <v>452880</v>
      </c>
      <c r="L34" s="149"/>
      <c r="M34" s="36"/>
    </row>
    <row r="35" spans="1:13" ht="13" thickBot="1" x14ac:dyDescent="0.3">
      <c r="A35" s="45" t="str">
        <f t="shared" si="0"/>
        <v>S</v>
      </c>
      <c r="B35" s="46">
        <f>'Base Game Calculations'!B35*$C$82</f>
        <v>1200</v>
      </c>
      <c r="C35" s="46">
        <f>'Base Game Calculations'!C35*$C$82</f>
        <v>90</v>
      </c>
      <c r="D35" s="46">
        <f>'Base Game Calculations'!D35*$C$82</f>
        <v>12</v>
      </c>
      <c r="E35" s="46">
        <f>'Base Game Calculations'!E35*$C$82</f>
        <v>6</v>
      </c>
      <c r="F35" s="47"/>
      <c r="H35" s="45" t="str">
        <f t="shared" si="1"/>
        <v>S</v>
      </c>
      <c r="I35" s="150">
        <f>((4*(B20))*(4*(C20))*(4*(D20))*(4*(E20))*(4*(F20)))</f>
        <v>1024</v>
      </c>
      <c r="J35" s="150">
        <f>((4*(B20))*(4*(C20))*(4*(D20))*(4*(E20))*(F21-(4*(F20))))+((4*(B20))*(4*(C20))*(4*(D20))*(4*(F20))*(E21-(4*(E20))))+((4*(B20))*(4*(C20))*(4*(F20))*(4*(E20))*(D21-(4*(D20))))+((4*(B20))*(4*(F20))*(4*(D20))*(4*(E20))*(C21-(4*(C20))))+((4*(F20))*(4*(C20))*(4*(D20))*(4*(E20))*(B21-(4*(B20))))</f>
        <v>60160</v>
      </c>
      <c r="K35" s="150">
        <f>((4*(B20))*(4*(C20))*(4*(D20))*(E21-(4*(E20)))*(F21-(4*(F20))))+((4*(B20))*(4*(C20))*(4*(E20))*(D21-(4*(D20)))*(F21-(4*(F20))))+((4*(B20))*(4*(C20))*(4*(F20))*(E21-(4*(E20)))*(D21-(4*(D20))))+((4*(B20))*(4*(D20))*(4*(E20))*(C21-(4*(C20)))*(F21-(4*(F20))))+((4*(B20))*(4*(F20))*(4*(D20))*(E21-(4*(E20)))*(C21-(4*(C20))))+((4*(B20))*(4*(E20))*(4*(F20))*(C21-(4*(C20)))*(D21-(4*(D20))))+((4*(E20))*(4*(C20))*(4*(D20))*(B21-(4*(B20)))*(F21-(4*(F20))))+((4*(F20))*(4*(C20))*(4*(D20))*(E21-(4*(E20)))*(B21-(4*(B20))))+((4*(E20))*(4*(C20))*(4*(F20))*(B21-(4*(B20)))*(D21-(4*(D20))))+((4*(E20))*(4*(F20))*(4*(D20))*(B21-(4*(B20)))*(C21-(4*(C20))))</f>
        <v>1413760</v>
      </c>
      <c r="L35" s="150">
        <f>(4*B20*4*C20*(D21-(4*D20))*(E21-(4*E20))*(F21-(4*F20)))+(4*B20*(C21-(4*C20))*4*D20*(E21-(4*E20))*(F21-(4*F20)))+(4*B20*(C21-(4*C20))*(D21-(4*D20))*4*E20*(F21-(4*F20)))+(4*B20*(C21-(4*C20))*(D21-(4*D20))*(E21-(4*E20))*4*F20)+((B21-(4*B20))*4*C20*4*D20*(E21-(4*E20))*(F21-(4*F20)))+((B21-(4*B20))*4*C20*(D21-(4*D20))*4*E20*(F21-(4*F20)))+((B21-(4*B20))*4*C20*(D21-(4*D20))*(E21-(4*E20))*4*F20)+((B21-(4*B20))*(C21-(4*C20))*4*D20*4*E20*(F21-(4*F20)))+((B21-(4*B20))*(C21-(4*C20))*4*D20*(E21-(4*E20))*4*F20)+((B21-(4*B20))*(C21-(4*C20))*(D21-(4*D20))*4*E20*4*F20)</f>
        <v>16611680</v>
      </c>
      <c r="M35" s="47"/>
    </row>
    <row r="36" spans="1:13" ht="13" thickBot="1" x14ac:dyDescent="0.3"/>
    <row r="37" spans="1:13" ht="13" x14ac:dyDescent="0.3">
      <c r="A37" s="40" t="s">
        <v>76</v>
      </c>
      <c r="B37" s="41"/>
      <c r="C37" s="41"/>
      <c r="D37" s="41"/>
      <c r="E37" s="41"/>
      <c r="F37" s="42"/>
      <c r="H37" s="40" t="s">
        <v>77</v>
      </c>
      <c r="I37" s="151"/>
      <c r="J37" s="151"/>
      <c r="K37" s="151"/>
      <c r="L37" s="151"/>
      <c r="M37" s="42"/>
    </row>
    <row r="38" spans="1:13" ht="13" x14ac:dyDescent="0.3">
      <c r="A38" s="43" t="s">
        <v>13</v>
      </c>
      <c r="B38" s="20" t="s">
        <v>71</v>
      </c>
      <c r="C38" s="20" t="s">
        <v>72</v>
      </c>
      <c r="D38" s="20" t="s">
        <v>73</v>
      </c>
      <c r="E38" s="20" t="s">
        <v>74</v>
      </c>
      <c r="F38" s="44" t="s">
        <v>75</v>
      </c>
      <c r="H38" s="43" t="s">
        <v>13</v>
      </c>
      <c r="I38" s="20" t="s">
        <v>71</v>
      </c>
      <c r="J38" s="20" t="s">
        <v>72</v>
      </c>
      <c r="K38" s="20" t="s">
        <v>73</v>
      </c>
      <c r="L38" s="20" t="s">
        <v>74</v>
      </c>
      <c r="M38" s="44" t="s">
        <v>75</v>
      </c>
    </row>
    <row r="39" spans="1:13" x14ac:dyDescent="0.25">
      <c r="A39" s="35" t="str">
        <f>A9</f>
        <v>W</v>
      </c>
      <c r="B39" s="149">
        <f>'Base Game Calculations'!B39*$C$82</f>
        <v>0</v>
      </c>
      <c r="C39" s="149">
        <f>'Base Game Calculations'!C39*$C$82</f>
        <v>0</v>
      </c>
      <c r="D39" s="149">
        <f>'Base Game Calculations'!D39*$C$82</f>
        <v>0</v>
      </c>
      <c r="E39" s="149">
        <f>'Base Game Calculations'!E39*$C$82</f>
        <v>0</v>
      </c>
      <c r="F39" s="152"/>
      <c r="H39" s="35" t="str">
        <f>A39</f>
        <v>W</v>
      </c>
      <c r="I39" s="149">
        <f>(B$9*C$9*D$9*E$9*F$9)</f>
        <v>0</v>
      </c>
      <c r="J39" s="149">
        <f>(B$9*C$9*D$9*E$9*(F$21-(F$9+F10+F11+F12+F13+F14+F15+F16+F17)))</f>
        <v>0</v>
      </c>
      <c r="K39" s="149">
        <f>(B$9*C$9*D$9*(E$21-(E$9+E10+E11))*F$21)-(B9*C9*D9*E12*(F9+F12))-(B9*C9*D9*E13*(F9+F13))-(B9*C9*D9*E14*(F9+F14))-(B9*C9*D9*E15*(F9+F15))-(B9*C9*D9*E16*(F9+F16))-(B9*C9*D9*E17*(F9+F17))-(B9*C9*D9*E18*(F9+F18))-(B9*C9*D9*E19*(F9+F19))</f>
        <v>0</v>
      </c>
      <c r="L39" s="149">
        <f>(B$9*C$9*(D$21-(D$9+D10+D11+D12+D13+D14+D15+D16+D17+D18+D19))*E$21*F$21)</f>
        <v>0</v>
      </c>
      <c r="M39" s="152"/>
    </row>
    <row r="40" spans="1:13" x14ac:dyDescent="0.25">
      <c r="A40" s="35" t="str">
        <f t="shared" ref="A40:A49" si="5">A25</f>
        <v>G1</v>
      </c>
      <c r="B40" s="149">
        <f>'Base Game Calculations'!B40*$C$82</f>
        <v>6000</v>
      </c>
      <c r="C40" s="149">
        <f>'Base Game Calculations'!C40*$C$82</f>
        <v>300</v>
      </c>
      <c r="D40" s="149">
        <f>'Base Game Calculations'!D40*$C$82</f>
        <v>144</v>
      </c>
      <c r="E40" s="149">
        <f>'Base Game Calculations'!E40*$C$82</f>
        <v>24</v>
      </c>
      <c r="F40" s="152"/>
      <c r="H40" s="35" t="str">
        <f t="shared" ref="H40:H49" si="6">A25</f>
        <v>G1</v>
      </c>
      <c r="I40" s="149">
        <f>((B$9+B10)*(C$9+C10)*(D$9+D10)*(E$9+E10)*(F$9+F10))-(B10*C10*D10*E10*F10)-(B$9*C$9*D$9*E$9*F$9)</f>
        <v>7168</v>
      </c>
      <c r="J40" s="149">
        <f>((B$9+B10)*(C$9+C10)*(D$9+D10)*(E$9+E10)*(F$21-(F$9+F10)))-(B10*C10*D10*E10*(F$21-(F$9+F10)))-(B$9*C$9*D$9*E$9*(F$21-(F$9+F10)))</f>
        <v>84224</v>
      </c>
      <c r="K40" s="149">
        <f t="shared" ref="K40:K45" si="7">((B$9+B10)*(C$9+C10)*(D$9+D10)*(E$21-(E$9+E10))*F$21)-(B10*C10*D10*(E$21-(E$9+E10))*F$21)-(B$9*C$9*D$9*(E$21-(E$9+E10))*F$21)</f>
        <v>421056</v>
      </c>
      <c r="L40" s="149">
        <f>((B$9+B10)*(C$9+C10)*(D$21-(D$9+D10))*(E$21)*F$21)-(B10*C10*(D$21-(D$9+D10))*E$21*F$21)</f>
        <v>1789488</v>
      </c>
      <c r="M40" s="36"/>
    </row>
    <row r="41" spans="1:13" x14ac:dyDescent="0.25">
      <c r="A41" s="35" t="str">
        <f t="shared" si="5"/>
        <v>G2</v>
      </c>
      <c r="B41" s="149">
        <f>'Base Game Calculations'!B41*$C$82</f>
        <v>6000</v>
      </c>
      <c r="C41" s="149">
        <f>'Base Game Calculations'!C41*$C$82</f>
        <v>300</v>
      </c>
      <c r="D41" s="149">
        <f>'Base Game Calculations'!D41*$C$82</f>
        <v>144</v>
      </c>
      <c r="E41" s="149"/>
      <c r="F41" s="152"/>
      <c r="H41" s="35" t="str">
        <f t="shared" si="6"/>
        <v>G2</v>
      </c>
      <c r="I41" s="149">
        <f t="shared" ref="I41:I47" si="8">((B$9+B11)*(C$9+C11)*(D$9+D11)*(E$9+E11)*(F$9+F11))-(B11*C11*D11*E11*F11)-(B$9*C$9*D$9*E$9*(F$9))</f>
        <v>1620</v>
      </c>
      <c r="J41" s="149">
        <f>((B$9+B11)*(C$9+C11)*(D$9+D11)*(E$9+E11)*(F$21-(F$9+F11)))-(B11*C11*D11*E11*(F$21-(F$9+F11)))-(B$9*C$9*D$9*E$9*(F$21-(F$9+F11)))</f>
        <v>25920</v>
      </c>
      <c r="K41" s="149">
        <f t="shared" si="7"/>
        <v>134640</v>
      </c>
      <c r="L41" s="149"/>
      <c r="M41" s="36"/>
    </row>
    <row r="42" spans="1:13" x14ac:dyDescent="0.25">
      <c r="A42" s="35" t="str">
        <f t="shared" si="5"/>
        <v>A3</v>
      </c>
      <c r="B42" s="149">
        <f>'Base Game Calculations'!B42*$C$82</f>
        <v>2400</v>
      </c>
      <c r="C42" s="149">
        <f>'Base Game Calculations'!C42*$C$82</f>
        <v>240</v>
      </c>
      <c r="D42" s="149">
        <f>'Base Game Calculations'!D42*$C$82</f>
        <v>120</v>
      </c>
      <c r="E42" s="149"/>
      <c r="F42" s="152"/>
      <c r="H42" s="35" t="str">
        <f t="shared" si="6"/>
        <v>A3</v>
      </c>
      <c r="I42" s="149">
        <f t="shared" si="8"/>
        <v>7320</v>
      </c>
      <c r="J42" s="149">
        <f t="shared" ref="J42:J49" si="9">((B$9+B12)*(C$9+C12)*(D$9+D12)*(E$9+E12)*(F$21-(F$9+F12)))-(B12*C12*D12*E12*(F$21-(F$9+F12)))-(B$9*C$9*D$9*(E$9+E12)*(F$21-(F$9+F12)))</f>
        <v>67344</v>
      </c>
      <c r="K42" s="149">
        <f t="shared" si="7"/>
        <v>276012</v>
      </c>
      <c r="L42" s="149"/>
      <c r="M42" s="36"/>
    </row>
    <row r="43" spans="1:13" x14ac:dyDescent="0.25">
      <c r="A43" s="35" t="str">
        <f t="shared" si="5"/>
        <v>A2</v>
      </c>
      <c r="B43" s="149">
        <f>'Base Game Calculations'!B43*$C$82</f>
        <v>2400</v>
      </c>
      <c r="C43" s="149">
        <f>'Base Game Calculations'!C43*$C$82</f>
        <v>240</v>
      </c>
      <c r="D43" s="149">
        <f>'Base Game Calculations'!D43*$C$82</f>
        <v>120</v>
      </c>
      <c r="E43" s="149"/>
      <c r="F43" s="152"/>
      <c r="H43" s="35" t="str">
        <f t="shared" si="6"/>
        <v>A2</v>
      </c>
      <c r="I43" s="149">
        <f t="shared" si="8"/>
        <v>2604</v>
      </c>
      <c r="J43" s="149">
        <f t="shared" si="9"/>
        <v>41664</v>
      </c>
      <c r="K43" s="149">
        <f t="shared" si="7"/>
        <v>394128</v>
      </c>
      <c r="L43" s="149"/>
      <c r="M43" s="36"/>
    </row>
    <row r="44" spans="1:13" x14ac:dyDescent="0.25">
      <c r="A44" s="35" t="str">
        <f t="shared" si="5"/>
        <v>A1</v>
      </c>
      <c r="B44" s="149">
        <f>'Base Game Calculations'!B44*$C$82</f>
        <v>1800</v>
      </c>
      <c r="C44" s="149">
        <f>'Base Game Calculations'!C44*$C$82</f>
        <v>180</v>
      </c>
      <c r="D44" s="149">
        <f>'Base Game Calculations'!D44*$C$82</f>
        <v>60</v>
      </c>
      <c r="E44" s="149"/>
      <c r="F44" s="152"/>
      <c r="H44" s="35" t="str">
        <f t="shared" si="6"/>
        <v>A1</v>
      </c>
      <c r="I44" s="149">
        <f t="shared" si="8"/>
        <v>3864</v>
      </c>
      <c r="J44" s="149">
        <f t="shared" si="9"/>
        <v>61824</v>
      </c>
      <c r="K44" s="149">
        <f t="shared" si="7"/>
        <v>179520</v>
      </c>
      <c r="L44" s="149"/>
      <c r="M44" s="36"/>
    </row>
    <row r="45" spans="1:13" x14ac:dyDescent="0.25">
      <c r="A45" s="35" t="str">
        <f t="shared" si="5"/>
        <v>A</v>
      </c>
      <c r="B45" s="149">
        <f>'Base Game Calculations'!B45*$C$82</f>
        <v>1800</v>
      </c>
      <c r="C45" s="149">
        <f>'Base Game Calculations'!C45*$C$82</f>
        <v>180</v>
      </c>
      <c r="D45" s="149">
        <f>'Base Game Calculations'!D45*$C$82</f>
        <v>60</v>
      </c>
      <c r="E45" s="149"/>
      <c r="F45" s="152"/>
      <c r="H45" s="35" t="str">
        <f t="shared" si="6"/>
        <v>A</v>
      </c>
      <c r="I45" s="149">
        <f t="shared" si="8"/>
        <v>12200</v>
      </c>
      <c r="J45" s="149">
        <f t="shared" si="9"/>
        <v>112240</v>
      </c>
      <c r="K45" s="149">
        <f t="shared" si="7"/>
        <v>501840</v>
      </c>
      <c r="L45" s="149"/>
      <c r="M45" s="36"/>
    </row>
    <row r="46" spans="1:13" x14ac:dyDescent="0.25">
      <c r="A46" s="35" t="str">
        <f t="shared" si="5"/>
        <v>K</v>
      </c>
      <c r="B46" s="149">
        <f>'Base Game Calculations'!B46*$C$82</f>
        <v>1500</v>
      </c>
      <c r="C46" s="149">
        <f>'Base Game Calculations'!C46*$C$82</f>
        <v>144</v>
      </c>
      <c r="D46" s="149">
        <f>'Base Game Calculations'!D46*$C$82</f>
        <v>48</v>
      </c>
      <c r="E46" s="149"/>
      <c r="F46" s="152"/>
      <c r="H46" s="35" t="str">
        <f t="shared" si="6"/>
        <v>K</v>
      </c>
      <c r="I46" s="149">
        <f t="shared" si="8"/>
        <v>26208</v>
      </c>
      <c r="J46" s="149">
        <f t="shared" si="9"/>
        <v>122304</v>
      </c>
      <c r="K46" s="149">
        <f>((B$9+B16)*(C$9+C16)*(D$9+D16)*(E$21-(E$9+E16))*F$21)-(B16*C16*D16*(E$21-(E$9+E16))*F$21)-(B$9*C$9*(D$9)*(E$21-(E$9+E16))*F$21)</f>
        <v>391680</v>
      </c>
      <c r="L46" s="149"/>
      <c r="M46" s="36"/>
    </row>
    <row r="47" spans="1:13" x14ac:dyDescent="0.25">
      <c r="A47" s="35" t="str">
        <f t="shared" si="5"/>
        <v>Q</v>
      </c>
      <c r="B47" s="149">
        <f>'Base Game Calculations'!B47*$C$82</f>
        <v>1500</v>
      </c>
      <c r="C47" s="149">
        <f>'Base Game Calculations'!C47*$C$82</f>
        <v>144</v>
      </c>
      <c r="D47" s="149">
        <f>'Base Game Calculations'!D47*$C$82</f>
        <v>48</v>
      </c>
      <c r="E47" s="149"/>
      <c r="F47" s="152"/>
      <c r="H47" s="35" t="str">
        <f t="shared" si="6"/>
        <v>Q</v>
      </c>
      <c r="I47" s="149">
        <f t="shared" si="8"/>
        <v>13320</v>
      </c>
      <c r="J47" s="149">
        <f t="shared" si="9"/>
        <v>54612</v>
      </c>
      <c r="K47" s="149">
        <f>((B$9+B17)*(C$9+C17)*(D$9+D17)*(E$21-(E$9+E17))*F$21)-(B17*C17*D17*(E$21-(E$9+E17))*F$21)-(B$9*C$9*(D$9)*(E$21-(E$9+E17))*F$21)</f>
        <v>591192</v>
      </c>
      <c r="L47" s="149"/>
      <c r="M47" s="36"/>
    </row>
    <row r="48" spans="1:13" x14ac:dyDescent="0.25">
      <c r="A48" s="35" t="str">
        <f t="shared" si="5"/>
        <v>J</v>
      </c>
      <c r="B48" s="149">
        <f>'Base Game Calculations'!B48*$C$82</f>
        <v>1200</v>
      </c>
      <c r="C48" s="149">
        <f>'Base Game Calculations'!C48*$C$82</f>
        <v>120</v>
      </c>
      <c r="D48" s="149">
        <f>'Base Game Calculations'!D48*$C$82</f>
        <v>36</v>
      </c>
      <c r="E48" s="149"/>
      <c r="F48" s="152"/>
      <c r="H48" s="35" t="str">
        <f t="shared" si="6"/>
        <v>J</v>
      </c>
      <c r="I48" s="149">
        <f>((B$9+B18)*(C$9+C18)*(D$9+D18)*(E$9+E18)*(F$9+F18))-(B18*C18*D18*E18*F18)-(B$9*C$9*D$9*E$9*(F$9+F18))</f>
        <v>10584</v>
      </c>
      <c r="J48" s="149">
        <f t="shared" si="9"/>
        <v>79380</v>
      </c>
      <c r="K48" s="149">
        <f>((B$9+B18)*(C$9+C18)*(D$9+D18)*(E$21-(E$9+E18))*F$21)-(B18*C18*D18*(E$21-(E$9+E18))*F$21)-(B$9*C$9*(D$9)*(E$21-(E$9+E18))*F$21)</f>
        <v>760104</v>
      </c>
      <c r="L48" s="149"/>
      <c r="M48" s="36"/>
    </row>
    <row r="49" spans="1:13" ht="13" thickBot="1" x14ac:dyDescent="0.3">
      <c r="A49" s="45" t="str">
        <f t="shared" si="5"/>
        <v>T</v>
      </c>
      <c r="B49" s="150">
        <f>'Base Game Calculations'!B49*$C$82</f>
        <v>1200</v>
      </c>
      <c r="C49" s="150">
        <f>'Base Game Calculations'!C49*$C$82</f>
        <v>120</v>
      </c>
      <c r="D49" s="150">
        <f>'Base Game Calculations'!D49*$C$82</f>
        <v>36</v>
      </c>
      <c r="E49" s="150"/>
      <c r="F49" s="153"/>
      <c r="H49" s="45" t="str">
        <f t="shared" si="6"/>
        <v>T</v>
      </c>
      <c r="I49" s="150">
        <f>((B$9+B19)*(C$9+C19)*(D$9+D19)*(E$9+E19)*(F$9+F19))-(B19*C19*D19*E19*F19)-(B$9*C$9*D$9*E$9*(F$9+F19))</f>
        <v>10880</v>
      </c>
      <c r="J49" s="150">
        <f t="shared" si="9"/>
        <v>266560</v>
      </c>
      <c r="K49" s="150">
        <f>((B$9+B19)*(C$9+C19)*(D$9+D19)*(E$21-(E$9+E19))*F$21)-(B19*C19*D19*(E$21-(E$9+E19))*F$21)-(B$9*C$9*(D$9)*(E$21-(E$9+E19))*F$21)</f>
        <v>603840</v>
      </c>
      <c r="L49" s="150"/>
      <c r="M49" s="47"/>
    </row>
    <row r="50" spans="1:13" ht="13" thickBot="1" x14ac:dyDescent="0.3"/>
    <row r="51" spans="1:13" ht="13" x14ac:dyDescent="0.3">
      <c r="A51" s="40" t="s">
        <v>78</v>
      </c>
      <c r="B51" s="41"/>
      <c r="C51" s="41"/>
      <c r="D51" s="41"/>
      <c r="E51" s="34" t="s">
        <v>79</v>
      </c>
    </row>
    <row r="52" spans="1:13" s="20" customFormat="1" ht="15" x14ac:dyDescent="0.3">
      <c r="A52" s="43" t="s">
        <v>80</v>
      </c>
      <c r="B52" s="20" t="s">
        <v>81</v>
      </c>
      <c r="C52" s="20" t="s">
        <v>82</v>
      </c>
      <c r="D52" s="20" t="s">
        <v>83</v>
      </c>
      <c r="E52" s="44" t="s">
        <v>84</v>
      </c>
    </row>
    <row r="53" spans="1:13" x14ac:dyDescent="0.25">
      <c r="A53" s="64">
        <f>LARGE(B$25:F$49,1)</f>
        <v>6000</v>
      </c>
      <c r="B53" s="89">
        <f>SUMIFS($I$25:$L$49,$B$25:$E$49,A53)</f>
        <v>8788</v>
      </c>
      <c r="C53" s="62">
        <f t="shared" ref="C53:C77" si="10">B53*A53/C$80</f>
        <v>0.15282359725027778</v>
      </c>
      <c r="D53" s="89">
        <f t="shared" ref="D53:D61" si="11">A53*A53*B53</f>
        <v>316368000000</v>
      </c>
      <c r="E53" s="99">
        <f t="shared" ref="E53:E61" si="12">A53*B53</f>
        <v>52728000</v>
      </c>
    </row>
    <row r="54" spans="1:13" x14ac:dyDescent="0.25">
      <c r="A54" s="64">
        <f>LARGE(B$25:F$49,(RANK(A53,B$25:F$49)+(COUNTIF(B$25:F$49,A53))))</f>
        <v>3000</v>
      </c>
      <c r="B54" s="89">
        <f t="shared" ref="B54:B77" si="13">SUMIFS($I$25:$L$49,$B$25:$E$49,A54)</f>
        <v>1294</v>
      </c>
      <c r="C54" s="62">
        <f t="shared" si="10"/>
        <v>1.1251350412031147E-2</v>
      </c>
      <c r="D54" s="89">
        <f t="shared" si="11"/>
        <v>11646000000</v>
      </c>
      <c r="E54" s="99">
        <f t="shared" si="12"/>
        <v>3882000</v>
      </c>
    </row>
    <row r="55" spans="1:13" x14ac:dyDescent="0.25">
      <c r="A55" s="64">
        <f t="shared" ref="A55:A61" si="14">LARGE(B$25:F$49,(RANK(A54,B$25:F$49)+(COUNTIF(B$25:F$49,A54))))</f>
        <v>2400</v>
      </c>
      <c r="B55" s="89">
        <f t="shared" si="13"/>
        <v>9924</v>
      </c>
      <c r="C55" s="62">
        <f t="shared" si="10"/>
        <v>6.9031469235856013E-2</v>
      </c>
      <c r="D55" s="89">
        <f t="shared" si="11"/>
        <v>57162240000</v>
      </c>
      <c r="E55" s="99">
        <f t="shared" si="12"/>
        <v>23817600</v>
      </c>
    </row>
    <row r="56" spans="1:13" x14ac:dyDescent="0.25">
      <c r="A56" s="64">
        <f t="shared" si="14"/>
        <v>1800</v>
      </c>
      <c r="B56" s="89">
        <f t="shared" si="13"/>
        <v>16064</v>
      </c>
      <c r="C56" s="62">
        <f t="shared" si="10"/>
        <v>8.3806040039660745E-2</v>
      </c>
      <c r="D56" s="89">
        <f t="shared" si="11"/>
        <v>52047360000</v>
      </c>
      <c r="E56" s="99">
        <f t="shared" si="12"/>
        <v>28915200</v>
      </c>
    </row>
    <row r="57" spans="1:13" x14ac:dyDescent="0.25">
      <c r="A57" s="64">
        <f t="shared" si="14"/>
        <v>1500</v>
      </c>
      <c r="B57" s="89">
        <f t="shared" si="13"/>
        <v>39528</v>
      </c>
      <c r="C57" s="62">
        <f t="shared" si="10"/>
        <v>0.17184829176459321</v>
      </c>
      <c r="D57" s="89">
        <f t="shared" si="11"/>
        <v>88938000000</v>
      </c>
      <c r="E57" s="99">
        <f t="shared" si="12"/>
        <v>59292000</v>
      </c>
    </row>
    <row r="58" spans="1:13" x14ac:dyDescent="0.25">
      <c r="A58" s="64">
        <f t="shared" si="14"/>
        <v>1200</v>
      </c>
      <c r="B58" s="89">
        <f t="shared" si="13"/>
        <v>23589</v>
      </c>
      <c r="C58" s="62">
        <f t="shared" si="10"/>
        <v>8.2042690840619076E-2</v>
      </c>
      <c r="D58" s="89">
        <f t="shared" si="11"/>
        <v>33968160000</v>
      </c>
      <c r="E58" s="99">
        <f t="shared" si="12"/>
        <v>28306800</v>
      </c>
    </row>
    <row r="59" spans="1:13" x14ac:dyDescent="0.25">
      <c r="A59" s="64">
        <f t="shared" si="14"/>
        <v>900</v>
      </c>
      <c r="B59" s="89">
        <f t="shared" si="13"/>
        <v>1980</v>
      </c>
      <c r="C59" s="62">
        <f t="shared" si="10"/>
        <v>5.1648393699741122E-3</v>
      </c>
      <c r="D59" s="89">
        <f t="shared" si="11"/>
        <v>1603800000</v>
      </c>
      <c r="E59" s="99">
        <f t="shared" si="12"/>
        <v>1782000</v>
      </c>
    </row>
    <row r="60" spans="1:13" x14ac:dyDescent="0.25">
      <c r="A60" s="64">
        <f t="shared" si="14"/>
        <v>750</v>
      </c>
      <c r="B60" s="89">
        <f t="shared" si="13"/>
        <v>12780</v>
      </c>
      <c r="C60" s="62">
        <f t="shared" si="10"/>
        <v>2.7780575399103179E-2</v>
      </c>
      <c r="D60" s="89">
        <f t="shared" si="11"/>
        <v>7188750000</v>
      </c>
      <c r="E60" s="99">
        <f t="shared" si="12"/>
        <v>9585000</v>
      </c>
    </row>
    <row r="61" spans="1:13" x14ac:dyDescent="0.25">
      <c r="A61" s="64">
        <f t="shared" si="14"/>
        <v>600</v>
      </c>
      <c r="B61" s="89">
        <f t="shared" si="13"/>
        <v>5016</v>
      </c>
      <c r="C61" s="62">
        <f t="shared" si="10"/>
        <v>8.7228398248451675E-3</v>
      </c>
      <c r="D61" s="89">
        <f t="shared" si="11"/>
        <v>1805760000</v>
      </c>
      <c r="E61" s="99">
        <f t="shared" si="12"/>
        <v>3009600</v>
      </c>
    </row>
    <row r="62" spans="1:13" x14ac:dyDescent="0.25">
      <c r="A62" s="64">
        <f t="shared" ref="A62:A68" si="15">LARGE(B$25:F$49,(RANK(A61,B$25:F$49)+(COUNTIF(B$25:F$49,A61))))</f>
        <v>300</v>
      </c>
      <c r="B62" s="89">
        <f t="shared" si="13"/>
        <v>110144</v>
      </c>
      <c r="C62" s="62">
        <f t="shared" si="10"/>
        <v>9.5770381745190009E-2</v>
      </c>
      <c r="D62" s="89">
        <f t="shared" ref="D62:D68" si="16">A62*A62*B62</f>
        <v>9912960000</v>
      </c>
      <c r="E62" s="99">
        <f t="shared" ref="E62:E68" si="17">A62*B62</f>
        <v>33043200</v>
      </c>
    </row>
    <row r="63" spans="1:13" x14ac:dyDescent="0.25">
      <c r="A63" s="64">
        <f t="shared" si="15"/>
        <v>240</v>
      </c>
      <c r="B63" s="89">
        <f t="shared" si="13"/>
        <v>109008</v>
      </c>
      <c r="C63" s="62">
        <f t="shared" si="10"/>
        <v>7.5826102362577516E-2</v>
      </c>
      <c r="D63" s="89">
        <f t="shared" si="16"/>
        <v>6278860800</v>
      </c>
      <c r="E63" s="99">
        <f t="shared" si="17"/>
        <v>26161920</v>
      </c>
    </row>
    <row r="64" spans="1:13" x14ac:dyDescent="0.25">
      <c r="A64" s="64">
        <f t="shared" si="15"/>
        <v>180</v>
      </c>
      <c r="B64" s="89">
        <f t="shared" si="13"/>
        <v>174064</v>
      </c>
      <c r="C64" s="62">
        <f t="shared" si="10"/>
        <v>9.0809353544967067E-2</v>
      </c>
      <c r="D64" s="89">
        <f t="shared" si="16"/>
        <v>5639673600</v>
      </c>
      <c r="E64" s="99">
        <f t="shared" si="17"/>
        <v>31331520</v>
      </c>
    </row>
    <row r="65" spans="1:9" x14ac:dyDescent="0.25">
      <c r="A65" s="64">
        <f t="shared" si="15"/>
        <v>150</v>
      </c>
      <c r="B65" s="89">
        <f t="shared" si="13"/>
        <v>16352</v>
      </c>
      <c r="C65" s="62">
        <f t="shared" si="10"/>
        <v>7.1090448971226168E-3</v>
      </c>
      <c r="D65" s="89">
        <f t="shared" si="16"/>
        <v>367920000</v>
      </c>
      <c r="E65" s="99">
        <f t="shared" si="17"/>
        <v>2452800</v>
      </c>
    </row>
    <row r="66" spans="1:9" x14ac:dyDescent="0.25">
      <c r="A66" s="64">
        <f t="shared" si="15"/>
        <v>144</v>
      </c>
      <c r="B66" s="89">
        <f t="shared" si="13"/>
        <v>732612</v>
      </c>
      <c r="C66" s="62">
        <f t="shared" si="10"/>
        <v>0.30576349903155348</v>
      </c>
      <c r="D66" s="89">
        <f t="shared" si="16"/>
        <v>15191442432</v>
      </c>
      <c r="E66" s="99">
        <f t="shared" si="17"/>
        <v>105496128</v>
      </c>
    </row>
    <row r="67" spans="1:9" x14ac:dyDescent="0.25">
      <c r="A67" s="64">
        <f t="shared" si="15"/>
        <v>120</v>
      </c>
      <c r="B67" s="89">
        <f t="shared" si="13"/>
        <v>1026352</v>
      </c>
      <c r="C67" s="62">
        <f t="shared" si="10"/>
        <v>0.35696587320213269</v>
      </c>
      <c r="D67" s="89">
        <f t="shared" si="16"/>
        <v>14779468800</v>
      </c>
      <c r="E67" s="99">
        <f t="shared" si="17"/>
        <v>123162240</v>
      </c>
    </row>
    <row r="68" spans="1:9" x14ac:dyDescent="0.25">
      <c r="A68" s="64">
        <f t="shared" si="15"/>
        <v>90</v>
      </c>
      <c r="B68" s="89">
        <f t="shared" si="13"/>
        <v>89800</v>
      </c>
      <c r="C68" s="62">
        <f t="shared" si="10"/>
        <v>2.3424372496145218E-2</v>
      </c>
      <c r="D68" s="89">
        <f t="shared" si="16"/>
        <v>727380000</v>
      </c>
      <c r="E68" s="99">
        <f t="shared" si="17"/>
        <v>8082000</v>
      </c>
    </row>
    <row r="69" spans="1:9" x14ac:dyDescent="0.25">
      <c r="A69" s="64">
        <f t="shared" ref="A69:A77" si="18">LARGE(B$25:F$49,(RANK(A68,B$25:F$49)+(COUNTIF(B$25:F$49,A68))))</f>
        <v>72</v>
      </c>
      <c r="B69" s="89">
        <f t="shared" si="13"/>
        <v>267210</v>
      </c>
      <c r="C69" s="62">
        <f t="shared" si="10"/>
        <v>5.5761483961647783E-2</v>
      </c>
      <c r="D69" s="89">
        <f t="shared" ref="D69:D77" si="19">A69*A69*B69</f>
        <v>1385216640</v>
      </c>
      <c r="E69" s="99">
        <f t="shared" ref="E69:E77" si="20">A69*B69</f>
        <v>19239120</v>
      </c>
    </row>
    <row r="70" spans="1:9" x14ac:dyDescent="0.25">
      <c r="A70" s="64">
        <f t="shared" si="18"/>
        <v>60</v>
      </c>
      <c r="B70" s="89">
        <f t="shared" si="13"/>
        <v>892278</v>
      </c>
      <c r="C70" s="62">
        <f t="shared" si="10"/>
        <v>0.15516742570241621</v>
      </c>
      <c r="D70" s="89">
        <f t="shared" si="19"/>
        <v>3212200800</v>
      </c>
      <c r="E70" s="99">
        <f t="shared" si="20"/>
        <v>53536680</v>
      </c>
    </row>
    <row r="71" spans="1:9" x14ac:dyDescent="0.25">
      <c r="A71" s="64">
        <f t="shared" si="18"/>
        <v>48</v>
      </c>
      <c r="B71" s="89">
        <f t="shared" si="13"/>
        <v>982872</v>
      </c>
      <c r="C71" s="62">
        <f t="shared" si="10"/>
        <v>0.13673740070694129</v>
      </c>
      <c r="D71" s="89">
        <f t="shared" si="19"/>
        <v>2264537088</v>
      </c>
      <c r="E71" s="99">
        <f t="shared" si="20"/>
        <v>47177856</v>
      </c>
    </row>
    <row r="72" spans="1:9" x14ac:dyDescent="0.25">
      <c r="A72" s="64">
        <f t="shared" si="18"/>
        <v>36</v>
      </c>
      <c r="B72" s="89">
        <f t="shared" si="13"/>
        <v>1363944</v>
      </c>
      <c r="C72" s="62">
        <f t="shared" si="10"/>
        <v>0.14231417514424183</v>
      </c>
      <c r="D72" s="89">
        <f t="shared" si="19"/>
        <v>1767671424</v>
      </c>
      <c r="E72" s="99">
        <f t="shared" si="20"/>
        <v>49101984</v>
      </c>
    </row>
    <row r="73" spans="1:9" x14ac:dyDescent="0.25">
      <c r="A73" s="64">
        <f t="shared" si="18"/>
        <v>30</v>
      </c>
      <c r="B73" s="89">
        <f t="shared" si="13"/>
        <v>184110</v>
      </c>
      <c r="C73" s="62">
        <f t="shared" si="10"/>
        <v>1.600839354218744E-2</v>
      </c>
      <c r="D73" s="89">
        <f t="shared" si="19"/>
        <v>165699000</v>
      </c>
      <c r="E73" s="99">
        <f t="shared" si="20"/>
        <v>5523300</v>
      </c>
    </row>
    <row r="74" spans="1:9" x14ac:dyDescent="0.25">
      <c r="A74" s="64">
        <f t="shared" si="18"/>
        <v>24</v>
      </c>
      <c r="B74" s="89">
        <f t="shared" si="13"/>
        <v>2239716</v>
      </c>
      <c r="C74" s="62">
        <f t="shared" si="10"/>
        <v>0.15579492760082073</v>
      </c>
      <c r="D74" s="89">
        <f t="shared" si="19"/>
        <v>1290076416</v>
      </c>
      <c r="E74" s="99">
        <f t="shared" si="20"/>
        <v>53753184</v>
      </c>
    </row>
    <row r="75" spans="1:9" x14ac:dyDescent="0.25">
      <c r="A75" s="64">
        <f t="shared" si="18"/>
        <v>18</v>
      </c>
      <c r="B75" s="89">
        <f t="shared" si="13"/>
        <v>537336</v>
      </c>
      <c r="C75" s="62">
        <f t="shared" si="10"/>
        <v>2.803286997681222E-2</v>
      </c>
      <c r="D75" s="89">
        <f t="shared" si="19"/>
        <v>174096864</v>
      </c>
      <c r="E75" s="99">
        <f t="shared" si="20"/>
        <v>9672048</v>
      </c>
    </row>
    <row r="76" spans="1:9" x14ac:dyDescent="0.25">
      <c r="A76" s="64">
        <f t="shared" si="18"/>
        <v>12</v>
      </c>
      <c r="B76" s="89">
        <f t="shared" si="13"/>
        <v>3203248</v>
      </c>
      <c r="C76" s="62">
        <f t="shared" si="10"/>
        <v>0.11140916755684065</v>
      </c>
      <c r="D76" s="89">
        <f t="shared" si="19"/>
        <v>461267712</v>
      </c>
      <c r="E76" s="99">
        <f t="shared" si="20"/>
        <v>38438976</v>
      </c>
    </row>
    <row r="77" spans="1:9" x14ac:dyDescent="0.25">
      <c r="A77" s="64">
        <f t="shared" si="18"/>
        <v>6</v>
      </c>
      <c r="B77" s="89">
        <f t="shared" si="13"/>
        <v>16611680</v>
      </c>
      <c r="C77" s="62">
        <f t="shared" si="10"/>
        <v>0.28887763927748</v>
      </c>
      <c r="D77" s="89">
        <f t="shared" si="19"/>
        <v>598020480</v>
      </c>
      <c r="E77" s="99">
        <f t="shared" si="20"/>
        <v>99670080</v>
      </c>
    </row>
    <row r="78" spans="1:9" ht="13.5" thickBot="1" x14ac:dyDescent="0.35">
      <c r="A78" s="45" t="s">
        <v>49</v>
      </c>
      <c r="B78" s="90">
        <f>SUM(B53:B77)</f>
        <v>28659689</v>
      </c>
      <c r="C78" s="59">
        <f>SUM(C53:C77)</f>
        <v>2.6582438048860375</v>
      </c>
      <c r="D78" s="90">
        <f>SUM(D53:D77)</f>
        <v>634944562056</v>
      </c>
      <c r="E78" s="100">
        <f>SUM(E53:E77)</f>
        <v>917161236</v>
      </c>
    </row>
    <row r="79" spans="1:9" ht="13" x14ac:dyDescent="0.3">
      <c r="A79" s="16"/>
      <c r="B79" s="20"/>
      <c r="C79" s="76"/>
      <c r="D79" s="20"/>
      <c r="E79" s="20"/>
    </row>
    <row r="80" spans="1:9" ht="13" x14ac:dyDescent="0.3">
      <c r="B80" s="105" t="s">
        <v>85</v>
      </c>
      <c r="C80" s="88">
        <f>B21*C21*D21*E21*F21</f>
        <v>345025251</v>
      </c>
      <c r="D80" s="88"/>
      <c r="E80" s="4"/>
      <c r="F80" s="4"/>
      <c r="I80" s="88"/>
    </row>
    <row r="81" spans="1:13" ht="13" x14ac:dyDescent="0.3">
      <c r="B81" s="105"/>
      <c r="C81" s="88"/>
      <c r="D81" s="6"/>
      <c r="F81" s="4"/>
      <c r="I81" s="88"/>
    </row>
    <row r="82" spans="1:13" ht="13" x14ac:dyDescent="0.3">
      <c r="B82" s="106" t="s">
        <v>86</v>
      </c>
      <c r="C82" s="88">
        <f>'Game summary'!S24</f>
        <v>3</v>
      </c>
      <c r="D82" s="6"/>
      <c r="F82" s="4"/>
      <c r="I82" s="88"/>
    </row>
    <row r="83" spans="1:13" ht="13" x14ac:dyDescent="0.3">
      <c r="B83" s="105" t="s">
        <v>52</v>
      </c>
      <c r="C83" s="88">
        <f>'Game summary'!S25</f>
        <v>10</v>
      </c>
      <c r="D83" s="6"/>
      <c r="F83" s="4"/>
      <c r="I83" s="88"/>
    </row>
    <row r="84" spans="1:13" ht="13" x14ac:dyDescent="0.3">
      <c r="B84" s="105"/>
      <c r="C84" s="88"/>
      <c r="D84" s="6"/>
      <c r="F84" s="4"/>
      <c r="I84" s="88"/>
    </row>
    <row r="85" spans="1:13" ht="13" x14ac:dyDescent="0.3">
      <c r="B85" s="106" t="s">
        <v>96</v>
      </c>
      <c r="C85" s="88">
        <f>SUM('Base Game Calculations'!I35:K35)</f>
        <v>2323200</v>
      </c>
      <c r="D85" s="149" t="s">
        <v>89</v>
      </c>
      <c r="E85" s="22">
        <f>1/(C85/C$80)</f>
        <v>148.51293517561984</v>
      </c>
      <c r="F85" s="155">
        <f>C85/C80</f>
        <v>6.7334202156699536E-3</v>
      </c>
      <c r="I85" s="88"/>
    </row>
    <row r="86" spans="1:13" ht="13" x14ac:dyDescent="0.3">
      <c r="B86" s="105" t="s">
        <v>97</v>
      </c>
      <c r="C86" s="89">
        <f>SUM(I35:K35)</f>
        <v>1474944</v>
      </c>
      <c r="D86" s="149" t="s">
        <v>89</v>
      </c>
      <c r="E86" s="22">
        <f>1/(C86/C$80)</f>
        <v>233.92430560075502</v>
      </c>
      <c r="F86" s="155">
        <f>C86/C80</f>
        <v>4.2748871154360815E-3</v>
      </c>
      <c r="I86" s="88"/>
    </row>
    <row r="87" spans="1:13" ht="13" x14ac:dyDescent="0.3">
      <c r="B87" s="105"/>
      <c r="D87" s="149"/>
      <c r="E87" s="156"/>
      <c r="F87" s="4"/>
      <c r="I87" s="88"/>
    </row>
    <row r="88" spans="1:13" ht="13" x14ac:dyDescent="0.3">
      <c r="B88" s="107" t="s">
        <v>98</v>
      </c>
      <c r="C88" s="155">
        <f>((C83*C85)/C80)/(1-((C83*C86)/C80))</f>
        <v>7.0341209456601703E-2</v>
      </c>
      <c r="E88" s="156"/>
      <c r="F88" s="4"/>
      <c r="I88" s="88"/>
    </row>
    <row r="89" spans="1:13" ht="13" x14ac:dyDescent="0.3">
      <c r="B89" s="107" t="s">
        <v>99</v>
      </c>
      <c r="C89" s="155">
        <f>C78</f>
        <v>2.6582438048860375</v>
      </c>
      <c r="E89" s="156"/>
      <c r="F89" s="4"/>
      <c r="I89" s="88"/>
    </row>
    <row r="90" spans="1:13" ht="13" x14ac:dyDescent="0.3">
      <c r="B90" s="157"/>
      <c r="C90" s="155"/>
      <c r="D90" s="157"/>
      <c r="E90" s="157"/>
      <c r="F90" s="157"/>
      <c r="I90" s="88"/>
    </row>
    <row r="91" spans="1:13" ht="13" x14ac:dyDescent="0.3">
      <c r="B91" s="105" t="s">
        <v>92</v>
      </c>
      <c r="C91" s="109">
        <f>C88*C89</f>
        <v>0.18698408426620264</v>
      </c>
      <c r="E91" s="156"/>
      <c r="F91" s="4"/>
      <c r="I91" s="88"/>
    </row>
    <row r="92" spans="1:13" x14ac:dyDescent="0.25">
      <c r="D92" s="156"/>
    </row>
    <row r="93" spans="1:13" ht="13" x14ac:dyDescent="0.3">
      <c r="C93" s="63"/>
      <c r="D93" s="156"/>
    </row>
    <row r="94" spans="1:13" ht="13" thickBot="1" x14ac:dyDescent="0.3">
      <c r="D94" s="156"/>
    </row>
    <row r="95" spans="1:13" ht="13" x14ac:dyDescent="0.3">
      <c r="A95" s="40" t="s">
        <v>93</v>
      </c>
      <c r="B95" s="41"/>
      <c r="C95" s="41"/>
      <c r="D95" s="41"/>
      <c r="E95" s="41"/>
      <c r="F95" s="42"/>
      <c r="H95" s="40" t="s">
        <v>94</v>
      </c>
      <c r="I95" s="41"/>
      <c r="J95" s="41"/>
      <c r="K95" s="41"/>
      <c r="L95" s="41"/>
      <c r="M95" s="42"/>
    </row>
    <row r="96" spans="1:13" ht="13" x14ac:dyDescent="0.3">
      <c r="A96" s="43" t="s">
        <v>13</v>
      </c>
      <c r="B96" s="20" t="s">
        <v>71</v>
      </c>
      <c r="C96" s="20" t="s">
        <v>72</v>
      </c>
      <c r="D96" s="20" t="s">
        <v>73</v>
      </c>
      <c r="E96" s="20" t="s">
        <v>74</v>
      </c>
      <c r="F96" s="44" t="s">
        <v>75</v>
      </c>
      <c r="H96" s="43" t="s">
        <v>13</v>
      </c>
      <c r="I96" s="20" t="s">
        <v>71</v>
      </c>
      <c r="J96" s="20" t="s">
        <v>72</v>
      </c>
      <c r="K96" s="20" t="s">
        <v>73</v>
      </c>
      <c r="L96" s="20" t="s">
        <v>74</v>
      </c>
      <c r="M96" s="44" t="s">
        <v>75</v>
      </c>
    </row>
    <row r="97" spans="1:15" x14ac:dyDescent="0.25">
      <c r="A97" s="154" t="s">
        <v>95</v>
      </c>
      <c r="B97" s="16">
        <f>I39*B39/$C$80</f>
        <v>0</v>
      </c>
      <c r="C97" s="16">
        <f>J39*C39/$C$80</f>
        <v>0</v>
      </c>
      <c r="D97" s="16">
        <f>K39*D39/$C$80</f>
        <v>0</v>
      </c>
      <c r="E97" s="16">
        <f>L39*E39/$C$80</f>
        <v>0</v>
      </c>
      <c r="F97" s="36">
        <f>M39*F39/$C$80</f>
        <v>0</v>
      </c>
      <c r="H97" s="35" t="str">
        <f t="shared" ref="H97:H107" si="21">A25</f>
        <v>G1</v>
      </c>
      <c r="I97" s="16">
        <f>I25*B25/$C$80</f>
        <v>8.9036961529520061E-3</v>
      </c>
      <c r="J97" s="16">
        <f>J25*C25/$C$80</f>
        <v>5.2309214898593028E-3</v>
      </c>
      <c r="K97" s="16">
        <f>K25*D25/$C$80</f>
        <v>2.928870849513562E-2</v>
      </c>
      <c r="L97" s="16">
        <f>L25*E25/$C$80</f>
        <v>6.2238505552163197E-2</v>
      </c>
      <c r="M97" s="36"/>
      <c r="O97" s="21">
        <f t="shared" ref="O97:O106" si="22">SUM(I97:K97)+SUM(B98:D98)</f>
        <v>0.41704022410811897</v>
      </c>
    </row>
    <row r="98" spans="1:15" x14ac:dyDescent="0.25">
      <c r="A98" s="35" t="s">
        <v>100</v>
      </c>
      <c r="B98" s="16">
        <f>I40*B40/$C$80</f>
        <v>0.12465174614132807</v>
      </c>
      <c r="C98" s="16">
        <f>J40*C40/$C$80</f>
        <v>7.3232900858030248E-2</v>
      </c>
      <c r="D98" s="16">
        <f>K40*D40/$C$80</f>
        <v>0.17573225097081371</v>
      </c>
      <c r="E98" s="16">
        <f>L40*E40/$C$80</f>
        <v>0.12447701110432639</v>
      </c>
      <c r="F98" s="36"/>
      <c r="H98" s="35" t="str">
        <f t="shared" si="21"/>
        <v>G2</v>
      </c>
      <c r="I98" s="16">
        <f t="shared" ref="I98:I107" si="23">I26*B26/$C$80</f>
        <v>2.3476542590791421E-3</v>
      </c>
      <c r="J98" s="16">
        <f t="shared" ref="J98:J107" si="24">J26*C26/$C$80</f>
        <v>1.8781234072633136E-3</v>
      </c>
      <c r="K98" s="16">
        <f t="shared" ref="K98:K107" si="25">K26*D26/$C$80</f>
        <v>1.4048363086329585E-2</v>
      </c>
      <c r="L98" s="16"/>
      <c r="M98" s="36"/>
      <c r="O98" s="21">
        <f t="shared" si="22"/>
        <v>0.12517692509409983</v>
      </c>
    </row>
    <row r="99" spans="1:15" x14ac:dyDescent="0.25">
      <c r="A99" s="35" t="s">
        <v>101</v>
      </c>
      <c r="B99" s="16">
        <f t="shared" ref="B99:B107" si="26">I41*B41/$C$80</f>
        <v>2.8171851108949705E-2</v>
      </c>
      <c r="C99" s="16">
        <f t="shared" ref="C99:C107" si="27">J41*C41/$C$80</f>
        <v>2.2537480887159764E-2</v>
      </c>
      <c r="D99" s="16">
        <f t="shared" ref="D99:D107" si="28">K41*D41/$C$80</f>
        <v>5.6193452345318341E-2</v>
      </c>
      <c r="E99" s="16"/>
      <c r="F99" s="36"/>
      <c r="H99" s="35" t="str">
        <f t="shared" si="21"/>
        <v>A3</v>
      </c>
      <c r="I99" s="16">
        <f t="shared" si="23"/>
        <v>3.7562468145266271E-3</v>
      </c>
      <c r="J99" s="16">
        <f t="shared" si="24"/>
        <v>3.4557470693644971E-3</v>
      </c>
      <c r="K99" s="16">
        <f t="shared" si="25"/>
        <v>1.3090520148625296E-2</v>
      </c>
      <c r="L99" s="16"/>
      <c r="M99" s="36"/>
      <c r="O99" s="21">
        <f t="shared" si="22"/>
        <v>0.21406224554851494</v>
      </c>
    </row>
    <row r="100" spans="1:15" x14ac:dyDescent="0.25">
      <c r="A100" s="35" t="s">
        <v>102</v>
      </c>
      <c r="B100" s="16">
        <f t="shared" si="26"/>
        <v>5.0918012374694281E-2</v>
      </c>
      <c r="C100" s="16">
        <f t="shared" si="27"/>
        <v>4.6844571384718738E-2</v>
      </c>
      <c r="D100" s="16">
        <f t="shared" si="28"/>
        <v>9.5997147756585507E-2</v>
      </c>
      <c r="E100" s="16"/>
      <c r="F100" s="36"/>
      <c r="H100" s="35" t="str">
        <f t="shared" si="21"/>
        <v>A2</v>
      </c>
      <c r="I100" s="16">
        <f t="shared" si="23"/>
        <v>7.3038132504684418E-5</v>
      </c>
      <c r="J100" s="16">
        <f t="shared" si="24"/>
        <v>1.1686101200749507E-4</v>
      </c>
      <c r="K100" s="16">
        <f t="shared" si="25"/>
        <v>2.8557909809331606E-3</v>
      </c>
      <c r="L100" s="16"/>
      <c r="M100" s="36"/>
      <c r="O100" s="21">
        <f t="shared" si="22"/>
        <v>0.18721864504925759</v>
      </c>
    </row>
    <row r="101" spans="1:15" x14ac:dyDescent="0.25">
      <c r="A101" s="35" t="s">
        <v>103</v>
      </c>
      <c r="B101" s="16">
        <f t="shared" si="26"/>
        <v>1.8113456861161736E-2</v>
      </c>
      <c r="C101" s="16">
        <f t="shared" si="27"/>
        <v>2.8981530977858778E-2</v>
      </c>
      <c r="D101" s="16">
        <f t="shared" si="28"/>
        <v>0.13707796708479172</v>
      </c>
      <c r="E101" s="16"/>
      <c r="F101" s="36"/>
      <c r="H101" s="35" t="str">
        <f t="shared" si="21"/>
        <v>A1</v>
      </c>
      <c r="I101" s="16">
        <f t="shared" si="23"/>
        <v>4.3822879502810651E-3</v>
      </c>
      <c r="J101" s="16">
        <f t="shared" si="24"/>
        <v>7.0116607204497045E-3</v>
      </c>
      <c r="K101" s="16">
        <f t="shared" si="25"/>
        <v>1.4190265743767258E-2</v>
      </c>
      <c r="L101" s="16"/>
      <c r="M101" s="36"/>
      <c r="O101" s="21">
        <f t="shared" si="22"/>
        <v>0.10921496293614753</v>
      </c>
    </row>
    <row r="102" spans="1:15" x14ac:dyDescent="0.25">
      <c r="A102" s="35" t="s">
        <v>37</v>
      </c>
      <c r="B102" s="16">
        <f t="shared" si="26"/>
        <v>2.0158524571292899E-2</v>
      </c>
      <c r="C102" s="16">
        <f t="shared" si="27"/>
        <v>3.225363931406864E-2</v>
      </c>
      <c r="D102" s="16">
        <f t="shared" si="28"/>
        <v>3.1218584636287967E-2</v>
      </c>
      <c r="E102" s="16"/>
      <c r="F102" s="36"/>
      <c r="H102" s="35" t="str">
        <f t="shared" si="21"/>
        <v>A</v>
      </c>
      <c r="I102" s="16">
        <f t="shared" si="23"/>
        <v>7.8255141969304739E-4</v>
      </c>
      <c r="J102" s="16">
        <f t="shared" si="24"/>
        <v>7.1994730611760357E-4</v>
      </c>
      <c r="K102" s="16">
        <f t="shared" si="25"/>
        <v>1.8181277984201799E-3</v>
      </c>
      <c r="L102" s="16"/>
      <c r="M102" s="36"/>
      <c r="O102" s="21">
        <f t="shared" si="22"/>
        <v>0.21279399054766573</v>
      </c>
    </row>
    <row r="103" spans="1:15" x14ac:dyDescent="0.25">
      <c r="A103" s="35" t="s">
        <v>40</v>
      </c>
      <c r="B103" s="16">
        <f t="shared" si="26"/>
        <v>6.3647515468367846E-2</v>
      </c>
      <c r="C103" s="16">
        <f t="shared" si="27"/>
        <v>5.855571423089842E-2</v>
      </c>
      <c r="D103" s="16">
        <f t="shared" si="28"/>
        <v>8.7270134324168636E-2</v>
      </c>
      <c r="E103" s="16"/>
      <c r="F103" s="36"/>
      <c r="H103" s="35" t="str">
        <f t="shared" si="21"/>
        <v>K</v>
      </c>
      <c r="I103" s="16">
        <f t="shared" si="23"/>
        <v>2.7389299689256658E-2</v>
      </c>
      <c r="J103" s="16">
        <f t="shared" si="24"/>
        <v>1.2270406260786982E-2</v>
      </c>
      <c r="K103" s="16">
        <f t="shared" si="25"/>
        <v>2.8380531487534517E-2</v>
      </c>
      <c r="L103" s="16"/>
      <c r="M103" s="36"/>
      <c r="O103" s="21">
        <f t="shared" si="22"/>
        <v>0.28751523464582596</v>
      </c>
    </row>
    <row r="104" spans="1:15" x14ac:dyDescent="0.25">
      <c r="A104" s="35" t="s">
        <v>42</v>
      </c>
      <c r="B104" s="16">
        <f t="shared" si="26"/>
        <v>0.11393948670730769</v>
      </c>
      <c r="C104" s="16">
        <f t="shared" si="27"/>
        <v>5.1044890044873843E-2</v>
      </c>
      <c r="D104" s="16">
        <f t="shared" si="28"/>
        <v>5.4490620456066272E-2</v>
      </c>
      <c r="E104" s="16"/>
      <c r="F104" s="36"/>
      <c r="H104" s="35" t="str">
        <f t="shared" si="21"/>
        <v>Q</v>
      </c>
      <c r="I104" s="16">
        <f t="shared" si="23"/>
        <v>3.9127570984652369E-4</v>
      </c>
      <c r="J104" s="16">
        <f t="shared" si="24"/>
        <v>1.5400611939559171E-4</v>
      </c>
      <c r="K104" s="16">
        <f t="shared" si="25"/>
        <v>2.9373850089598223E-3</v>
      </c>
      <c r="L104" s="16"/>
      <c r="M104" s="36"/>
      <c r="O104" s="21">
        <f t="shared" si="22"/>
        <v>0.16643115781691006</v>
      </c>
    </row>
    <row r="105" spans="1:15" x14ac:dyDescent="0.25">
      <c r="A105" s="35" t="s">
        <v>45</v>
      </c>
      <c r="B105" s="16">
        <f t="shared" si="26"/>
        <v>5.7908805057285503E-2</v>
      </c>
      <c r="C105" s="16">
        <f t="shared" si="27"/>
        <v>2.2792905670547575E-2</v>
      </c>
      <c r="D105" s="16">
        <f t="shared" si="28"/>
        <v>8.2246780250875035E-2</v>
      </c>
      <c r="E105" s="16"/>
      <c r="F105" s="36"/>
      <c r="H105" s="35" t="str">
        <f t="shared" si="21"/>
        <v>J</v>
      </c>
      <c r="I105" s="16">
        <f t="shared" si="23"/>
        <v>3.7562468145266271E-4</v>
      </c>
      <c r="J105" s="16">
        <f t="shared" si="24"/>
        <v>2.8171851108949703E-4</v>
      </c>
      <c r="K105" s="16">
        <f t="shared" si="25"/>
        <v>4.4060775134397339E-3</v>
      </c>
      <c r="L105" s="16"/>
      <c r="M105" s="36"/>
      <c r="O105" s="21">
        <f t="shared" si="22"/>
        <v>0.14879244881702877</v>
      </c>
    </row>
    <row r="106" spans="1:15" x14ac:dyDescent="0.25">
      <c r="A106" s="35" t="s">
        <v>47</v>
      </c>
      <c r="B106" s="16">
        <f t="shared" si="26"/>
        <v>3.6811218782360947E-2</v>
      </c>
      <c r="C106" s="16">
        <f t="shared" si="27"/>
        <v>2.760841408677071E-2</v>
      </c>
      <c r="D106" s="16">
        <f t="shared" si="28"/>
        <v>7.9309395241915201E-2</v>
      </c>
      <c r="E106" s="16"/>
      <c r="F106" s="36"/>
      <c r="H106" s="35" t="str">
        <f t="shared" si="21"/>
        <v>T</v>
      </c>
      <c r="I106" s="16">
        <f t="shared" si="23"/>
        <v>8.3472151433925043E-3</v>
      </c>
      <c r="J106" s="16">
        <f t="shared" si="24"/>
        <v>2.0450677101311637E-2</v>
      </c>
      <c r="K106" s="16">
        <f t="shared" si="25"/>
        <v>2.3626792463372487E-2</v>
      </c>
      <c r="L106" s="16"/>
      <c r="M106" s="36"/>
      <c r="O106" s="21">
        <f t="shared" si="22"/>
        <v>0.24597990945306206</v>
      </c>
    </row>
    <row r="107" spans="1:15" x14ac:dyDescent="0.25">
      <c r="A107" s="35" t="s">
        <v>104</v>
      </c>
      <c r="B107" s="16">
        <f t="shared" si="26"/>
        <v>3.7840708650046025E-2</v>
      </c>
      <c r="C107" s="16">
        <f t="shared" si="27"/>
        <v>9.270973619261276E-2</v>
      </c>
      <c r="D107" s="16">
        <f t="shared" si="28"/>
        <v>6.3004779902326627E-2</v>
      </c>
      <c r="E107" s="16"/>
      <c r="F107" s="36"/>
      <c r="H107" s="35" t="str">
        <f t="shared" si="21"/>
        <v>S</v>
      </c>
      <c r="I107" s="16">
        <f t="shared" si="23"/>
        <v>3.5614784611808022E-3</v>
      </c>
      <c r="J107" s="16">
        <f t="shared" si="24"/>
        <v>1.5692764469577909E-2</v>
      </c>
      <c r="K107" s="16">
        <f t="shared" si="25"/>
        <v>4.917066200467745E-2</v>
      </c>
      <c r="L107" s="16">
        <f>L35*E35/$C$80</f>
        <v>0.28887763927748</v>
      </c>
      <c r="M107" s="36"/>
      <c r="O107" s="21">
        <f>SUM(I107:L107)</f>
        <v>0.35730254421291618</v>
      </c>
    </row>
    <row r="108" spans="1:15" ht="13.5" thickBot="1" x14ac:dyDescent="0.35">
      <c r="A108" s="37" t="s">
        <v>49</v>
      </c>
      <c r="B108" s="38">
        <f>SUM(B97:B107)</f>
        <v>0.55216132572279475</v>
      </c>
      <c r="C108" s="38">
        <f>SUM(C97:C107)</f>
        <v>0.45656178364753947</v>
      </c>
      <c r="D108" s="38">
        <f>SUM(D97:D107)</f>
        <v>0.86254111296914893</v>
      </c>
      <c r="E108" s="38">
        <f>SUM(E97:E107)</f>
        <v>0.12447701110432639</v>
      </c>
      <c r="F108" s="39">
        <f>SUM(F97:F107)</f>
        <v>0</v>
      </c>
      <c r="H108" s="37" t="s">
        <v>49</v>
      </c>
      <c r="I108" s="38">
        <f>SUM(I97:I107)</f>
        <v>6.0310368414165726E-2</v>
      </c>
      <c r="J108" s="38">
        <f>SUM(J97:J107)</f>
        <v>6.7262833467223532E-2</v>
      </c>
      <c r="K108" s="38">
        <f>SUM(K97:K107)</f>
        <v>0.1838132247311951</v>
      </c>
      <c r="L108" s="38">
        <f>SUM(L97:L107)</f>
        <v>0.35111614482964321</v>
      </c>
      <c r="M108" s="39">
        <f>SUM(M97:M107)</f>
        <v>0</v>
      </c>
      <c r="O108" s="23">
        <f>SUM(O95:O107)</f>
        <v>2.4715282882295475</v>
      </c>
    </row>
    <row r="109" spans="1:15" x14ac:dyDescent="0.25">
      <c r="D109" s="156"/>
    </row>
  </sheetData>
  <phoneticPr fontId="0" type="noConversion"/>
  <pageMargins left="0.75" right="0.75" top="1" bottom="1" header="0.5" footer="0.5"/>
  <pageSetup paperSize="9" scale="87" orientation="landscape" r:id="rId1"/>
  <headerFooter alignWithMargins="0"/>
  <rowBreaks count="1" manualBreakCount="1">
    <brk id="35" max="16383" man="1"/>
  </rowBreaks>
  <colBreaks count="1" manualBreakCount="1">
    <brk id="7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S111"/>
  <sheetViews>
    <sheetView topLeftCell="A49" zoomScale="85" zoomScaleNormal="85" workbookViewId="0">
      <selection activeCell="Q15" sqref="Q15"/>
    </sheetView>
  </sheetViews>
  <sheetFormatPr defaultRowHeight="12.5" x14ac:dyDescent="0.25"/>
  <cols>
    <col min="1" max="1" width="10.1796875" customWidth="1"/>
    <col min="2" max="6" width="10.1796875" style="16" customWidth="1"/>
    <col min="7" max="13" width="10.1796875" customWidth="1"/>
    <col min="17" max="17" width="17.1796875" customWidth="1"/>
    <col min="19" max="19" width="15.453125" customWidth="1"/>
  </cols>
  <sheetData>
    <row r="1" spans="1:13" ht="13" x14ac:dyDescent="0.3">
      <c r="A1" s="145" t="s">
        <v>0</v>
      </c>
      <c r="C1" s="53" t="str">
        <f>'Game summary'!D3</f>
        <v>Mad Mad Monkey</v>
      </c>
    </row>
    <row r="2" spans="1:13" ht="13" x14ac:dyDescent="0.3">
      <c r="A2" s="145" t="s">
        <v>2</v>
      </c>
      <c r="C2" s="53" t="str">
        <f>'Game summary'!D4</f>
        <v xml:space="preserve">5 x 4 layout (5 reel, 4 slots) </v>
      </c>
    </row>
    <row r="3" spans="1:13" ht="13" x14ac:dyDescent="0.3">
      <c r="A3" s="146"/>
      <c r="C3" s="53"/>
    </row>
    <row r="4" spans="1:13" ht="13" x14ac:dyDescent="0.3">
      <c r="A4" s="146"/>
      <c r="C4" s="58"/>
    </row>
    <row r="5" spans="1:13" x14ac:dyDescent="0.25">
      <c r="A5" s="146"/>
    </row>
    <row r="6" spans="1:13" ht="13.5" thickBot="1" x14ac:dyDescent="0.35">
      <c r="A6" s="4" t="s">
        <v>105</v>
      </c>
      <c r="D6" s="54"/>
      <c r="H6" s="4" t="s">
        <v>106</v>
      </c>
      <c r="I6" s="16"/>
      <c r="J6" s="16"/>
      <c r="K6" s="54"/>
      <c r="L6" s="16"/>
      <c r="M6" s="16"/>
    </row>
    <row r="7" spans="1:13" ht="13" x14ac:dyDescent="0.3">
      <c r="A7" s="50" t="s">
        <v>13</v>
      </c>
      <c r="B7" s="33" t="s">
        <v>14</v>
      </c>
      <c r="C7" s="33" t="s">
        <v>15</v>
      </c>
      <c r="D7" s="33" t="s">
        <v>16</v>
      </c>
      <c r="E7" s="33" t="s">
        <v>17</v>
      </c>
      <c r="F7" s="34" t="s">
        <v>18</v>
      </c>
      <c r="H7" s="50" t="s">
        <v>13</v>
      </c>
      <c r="I7" s="33" t="s">
        <v>14</v>
      </c>
      <c r="J7" s="33" t="s">
        <v>15</v>
      </c>
      <c r="K7" s="33" t="s">
        <v>16</v>
      </c>
      <c r="L7" s="33" t="s">
        <v>17</v>
      </c>
      <c r="M7" s="34" t="s">
        <v>18</v>
      </c>
    </row>
    <row r="8" spans="1:13" x14ac:dyDescent="0.25">
      <c r="A8" s="158" t="str">
        <f>'Base Game Calculations'!A9</f>
        <v>W</v>
      </c>
      <c r="B8" s="159">
        <f>'Base Game Calculations'!B9</f>
        <v>0</v>
      </c>
      <c r="C8" s="159">
        <f>'Base Game Calculations'!C9</f>
        <v>4</v>
      </c>
      <c r="D8" s="159">
        <f>'Base Game Calculations'!D9</f>
        <v>4</v>
      </c>
      <c r="E8" s="159">
        <f>'Base Game Calculations'!E9</f>
        <v>4</v>
      </c>
      <c r="F8" s="160">
        <f>'Base Game Calculations'!F9</f>
        <v>0</v>
      </c>
      <c r="H8" s="158" t="str">
        <f>'Feature Game Calculations'!A9</f>
        <v>W</v>
      </c>
      <c r="I8" s="159">
        <f>'Feature Game Calculations'!B9</f>
        <v>0</v>
      </c>
      <c r="J8" s="159">
        <f>'Feature Game Calculations'!C9</f>
        <v>4</v>
      </c>
      <c r="K8" s="159">
        <f>'Feature Game Calculations'!D9</f>
        <v>4</v>
      </c>
      <c r="L8" s="159">
        <f>'Feature Game Calculations'!E9</f>
        <v>4</v>
      </c>
      <c r="M8" s="160">
        <f>'Feature Game Calculations'!F9</f>
        <v>0</v>
      </c>
    </row>
    <row r="9" spans="1:13" ht="12.75" customHeight="1" x14ac:dyDescent="0.25">
      <c r="A9" s="158" t="str">
        <f>'Base Game Calculations'!A10</f>
        <v>G1</v>
      </c>
      <c r="B9" s="159">
        <f>'Base Game Calculations'!B10</f>
        <v>2</v>
      </c>
      <c r="C9" s="159">
        <f>'Base Game Calculations'!C10</f>
        <v>2</v>
      </c>
      <c r="D9" s="159">
        <f>'Base Game Calculations'!D10</f>
        <v>4</v>
      </c>
      <c r="E9" s="159">
        <f>'Base Game Calculations'!E10</f>
        <v>3</v>
      </c>
      <c r="F9" s="160">
        <f>'Base Game Calculations'!F10</f>
        <v>3</v>
      </c>
      <c r="H9" s="158" t="str">
        <f>'Feature Game Calculations'!A10</f>
        <v>G1</v>
      </c>
      <c r="I9" s="159">
        <f>'Feature Game Calculations'!B10</f>
        <v>4</v>
      </c>
      <c r="J9" s="159">
        <f>'Feature Game Calculations'!C10</f>
        <v>4</v>
      </c>
      <c r="K9" s="159">
        <f>'Feature Game Calculations'!D10</f>
        <v>4</v>
      </c>
      <c r="L9" s="159">
        <f>'Feature Game Calculations'!E10</f>
        <v>4</v>
      </c>
      <c r="M9" s="160">
        <f>'Feature Game Calculations'!F10</f>
        <v>4</v>
      </c>
    </row>
    <row r="10" spans="1:13" x14ac:dyDescent="0.25">
      <c r="A10" s="158" t="str">
        <f>'Base Game Calculations'!A11</f>
        <v>G2</v>
      </c>
      <c r="B10" s="159">
        <f>'Base Game Calculations'!B11</f>
        <v>4</v>
      </c>
      <c r="C10" s="159">
        <f>'Base Game Calculations'!C11</f>
        <v>2</v>
      </c>
      <c r="D10" s="159">
        <f>'Base Game Calculations'!D11</f>
        <v>1</v>
      </c>
      <c r="E10" s="159">
        <f>'Base Game Calculations'!E11</f>
        <v>2</v>
      </c>
      <c r="F10" s="160">
        <f>'Base Game Calculations'!F11</f>
        <v>1</v>
      </c>
      <c r="H10" s="158" t="str">
        <f>'Feature Game Calculations'!A11</f>
        <v>G2</v>
      </c>
      <c r="I10" s="159">
        <f>'Feature Game Calculations'!B11</f>
        <v>1</v>
      </c>
      <c r="J10" s="159">
        <f>'Feature Game Calculations'!C11</f>
        <v>6</v>
      </c>
      <c r="K10" s="159">
        <f>'Feature Game Calculations'!D11</f>
        <v>5</v>
      </c>
      <c r="L10" s="159">
        <f>'Feature Game Calculations'!E11</f>
        <v>3</v>
      </c>
      <c r="M10" s="160">
        <f>'Feature Game Calculations'!F11</f>
        <v>3</v>
      </c>
    </row>
    <row r="11" spans="1:13" x14ac:dyDescent="0.25">
      <c r="A11" s="158" t="str">
        <f>'Base Game Calculations'!A12</f>
        <v>A3</v>
      </c>
      <c r="B11" s="159">
        <f>'Base Game Calculations'!B12</f>
        <v>1</v>
      </c>
      <c r="C11" s="159">
        <f>'Base Game Calculations'!C12</f>
        <v>5</v>
      </c>
      <c r="D11" s="159">
        <f>'Base Game Calculations'!D12</f>
        <v>4</v>
      </c>
      <c r="E11" s="159">
        <f>'Base Game Calculations'!E12</f>
        <v>4</v>
      </c>
      <c r="F11" s="160">
        <f>'Base Game Calculations'!F12</f>
        <v>6</v>
      </c>
      <c r="H11" s="158" t="str">
        <f>'Feature Game Calculations'!A12</f>
        <v>A3</v>
      </c>
      <c r="I11" s="159">
        <f>'Feature Game Calculations'!B12</f>
        <v>3</v>
      </c>
      <c r="J11" s="159">
        <f>'Feature Game Calculations'!C12</f>
        <v>3</v>
      </c>
      <c r="K11" s="159">
        <f>'Feature Game Calculations'!D12</f>
        <v>4</v>
      </c>
      <c r="L11" s="159">
        <f>'Feature Game Calculations'!E12</f>
        <v>6</v>
      </c>
      <c r="M11" s="160">
        <f>'Feature Game Calculations'!F12</f>
        <v>5</v>
      </c>
    </row>
    <row r="12" spans="1:13" x14ac:dyDescent="0.25">
      <c r="A12" s="158" t="str">
        <f>'Base Game Calculations'!A13</f>
        <v>A2</v>
      </c>
      <c r="B12" s="159">
        <f>'Base Game Calculations'!B13</f>
        <v>5</v>
      </c>
      <c r="C12" s="159">
        <f>'Base Game Calculations'!C13</f>
        <v>2</v>
      </c>
      <c r="D12" s="159">
        <f>'Base Game Calculations'!D13</f>
        <v>1</v>
      </c>
      <c r="E12" s="159">
        <f>'Base Game Calculations'!E13</f>
        <v>2</v>
      </c>
      <c r="F12" s="160">
        <f>'Base Game Calculations'!F13</f>
        <v>6</v>
      </c>
      <c r="H12" s="158" t="str">
        <f>'Feature Game Calculations'!A13</f>
        <v>A2</v>
      </c>
      <c r="I12" s="159">
        <f>'Feature Game Calculations'!B13</f>
        <v>7</v>
      </c>
      <c r="J12" s="159">
        <f>'Feature Game Calculations'!C13</f>
        <v>1</v>
      </c>
      <c r="K12" s="159">
        <f>'Feature Game Calculations'!D13</f>
        <v>1</v>
      </c>
      <c r="L12" s="159">
        <f>'Feature Game Calculations'!E13</f>
        <v>1</v>
      </c>
      <c r="M12" s="160">
        <f>'Feature Game Calculations'!F13</f>
        <v>3</v>
      </c>
    </row>
    <row r="13" spans="1:13" x14ac:dyDescent="0.25">
      <c r="A13" s="158" t="str">
        <f>'Base Game Calculations'!A14</f>
        <v>A1</v>
      </c>
      <c r="B13" s="159">
        <f>'Base Game Calculations'!B14</f>
        <v>1</v>
      </c>
      <c r="C13" s="159">
        <f>'Base Game Calculations'!C14</f>
        <v>10</v>
      </c>
      <c r="D13" s="159">
        <f>'Base Game Calculations'!D14</f>
        <v>10</v>
      </c>
      <c r="E13" s="159">
        <f>'Base Game Calculations'!E14</f>
        <v>9</v>
      </c>
      <c r="F13" s="160">
        <f>'Base Game Calculations'!F14</f>
        <v>10</v>
      </c>
      <c r="H13" s="158" t="str">
        <f>'Feature Game Calculations'!A14</f>
        <v>A1</v>
      </c>
      <c r="I13" s="159">
        <f>'Feature Game Calculations'!B14</f>
        <v>1</v>
      </c>
      <c r="J13" s="159">
        <f>'Feature Game Calculations'!C14</f>
        <v>8</v>
      </c>
      <c r="K13" s="159">
        <f>'Feature Game Calculations'!D14</f>
        <v>10</v>
      </c>
      <c r="L13" s="159">
        <f>'Feature Game Calculations'!E14</f>
        <v>7</v>
      </c>
      <c r="M13" s="160">
        <f>'Feature Game Calculations'!F14</f>
        <v>3</v>
      </c>
    </row>
    <row r="14" spans="1:13" x14ac:dyDescent="0.25">
      <c r="A14" s="158" t="str">
        <f>'Base Game Calculations'!A15</f>
        <v>A</v>
      </c>
      <c r="B14" s="159">
        <f>'Base Game Calculations'!B15</f>
        <v>11</v>
      </c>
      <c r="C14" s="159">
        <f>'Base Game Calculations'!C15</f>
        <v>2</v>
      </c>
      <c r="D14" s="159">
        <f>'Base Game Calculations'!D15</f>
        <v>1</v>
      </c>
      <c r="E14" s="159">
        <f>'Base Game Calculations'!E15</f>
        <v>10</v>
      </c>
      <c r="F14" s="160">
        <f>'Base Game Calculations'!F15</f>
        <v>1</v>
      </c>
      <c r="H14" s="158" t="str">
        <f>'Feature Game Calculations'!A15</f>
        <v>A</v>
      </c>
      <c r="I14" s="159">
        <f>'Feature Game Calculations'!B15</f>
        <v>10</v>
      </c>
      <c r="J14" s="159">
        <f>'Feature Game Calculations'!C15</f>
        <v>1</v>
      </c>
      <c r="K14" s="159">
        <f>'Feature Game Calculations'!D15</f>
        <v>1</v>
      </c>
      <c r="L14" s="159">
        <f>'Feature Game Calculations'!E15</f>
        <v>6</v>
      </c>
      <c r="M14" s="160">
        <f>'Feature Game Calculations'!F15</f>
        <v>5</v>
      </c>
    </row>
    <row r="15" spans="1:13" x14ac:dyDescent="0.25">
      <c r="A15" s="158" t="str">
        <f>'Base Game Calculations'!A16</f>
        <v>K</v>
      </c>
      <c r="B15" s="159">
        <f>'Base Game Calculations'!B16</f>
        <v>1</v>
      </c>
      <c r="C15" s="159">
        <f>'Base Game Calculations'!C16</f>
        <v>10</v>
      </c>
      <c r="D15" s="159">
        <f>'Base Game Calculations'!D16</f>
        <v>10</v>
      </c>
      <c r="E15" s="159">
        <f>'Base Game Calculations'!E16</f>
        <v>8</v>
      </c>
      <c r="F15" s="160">
        <f>'Base Game Calculations'!F16</f>
        <v>10</v>
      </c>
      <c r="H15" s="158" t="str">
        <f>'Feature Game Calculations'!A16</f>
        <v>K</v>
      </c>
      <c r="I15" s="159">
        <f>'Feature Game Calculations'!B16</f>
        <v>2</v>
      </c>
      <c r="J15" s="159">
        <f>'Feature Game Calculations'!C16</f>
        <v>10</v>
      </c>
      <c r="K15" s="159">
        <f>'Feature Game Calculations'!D16</f>
        <v>10</v>
      </c>
      <c r="L15" s="159">
        <f>'Feature Game Calculations'!E16</f>
        <v>7</v>
      </c>
      <c r="M15" s="160">
        <f>'Feature Game Calculations'!F16</f>
        <v>9</v>
      </c>
    </row>
    <row r="16" spans="1:13" x14ac:dyDescent="0.25">
      <c r="A16" s="158" t="str">
        <f>'Base Game Calculations'!A17</f>
        <v>Q</v>
      </c>
      <c r="B16" s="159">
        <f>'Base Game Calculations'!B17</f>
        <v>11</v>
      </c>
      <c r="C16" s="159">
        <f>'Base Game Calculations'!C17</f>
        <v>2</v>
      </c>
      <c r="D16" s="159">
        <f>'Base Game Calculations'!D17</f>
        <v>1</v>
      </c>
      <c r="E16" s="159">
        <f>'Base Game Calculations'!E17</f>
        <v>1</v>
      </c>
      <c r="F16" s="160">
        <f>'Base Game Calculations'!F17</f>
        <v>10</v>
      </c>
      <c r="H16" s="158" t="str">
        <f>'Feature Game Calculations'!A17</f>
        <v>Q</v>
      </c>
      <c r="I16" s="159">
        <f>'Feature Game Calculations'!B17</f>
        <v>9</v>
      </c>
      <c r="J16" s="159">
        <f>'Feature Game Calculations'!C17</f>
        <v>2</v>
      </c>
      <c r="K16" s="159">
        <f>'Feature Game Calculations'!D17</f>
        <v>1</v>
      </c>
      <c r="L16" s="159">
        <f>'Feature Game Calculations'!E17</f>
        <v>1</v>
      </c>
      <c r="M16" s="160">
        <f>'Feature Game Calculations'!F17</f>
        <v>10</v>
      </c>
    </row>
    <row r="17" spans="1:19" x14ac:dyDescent="0.25">
      <c r="A17" s="158" t="str">
        <f>'Base Game Calculations'!A18</f>
        <v>J</v>
      </c>
      <c r="B17" s="159">
        <f>'Base Game Calculations'!B18</f>
        <v>11</v>
      </c>
      <c r="C17" s="159">
        <f>'Base Game Calculations'!C18</f>
        <v>1</v>
      </c>
      <c r="D17" s="159">
        <f>'Base Game Calculations'!D18</f>
        <v>3</v>
      </c>
      <c r="E17" s="159">
        <f>'Base Game Calculations'!E18</f>
        <v>1</v>
      </c>
      <c r="F17" s="160">
        <f>'Base Game Calculations'!F18</f>
        <v>1</v>
      </c>
      <c r="H17" s="158" t="str">
        <f>'Feature Game Calculations'!A18</f>
        <v>J</v>
      </c>
      <c r="I17" s="159">
        <f>'Feature Game Calculations'!B18</f>
        <v>9</v>
      </c>
      <c r="J17" s="159">
        <f>'Feature Game Calculations'!C18</f>
        <v>1</v>
      </c>
      <c r="K17" s="159">
        <f>'Feature Game Calculations'!D18</f>
        <v>4</v>
      </c>
      <c r="L17" s="159">
        <f>'Feature Game Calculations'!E18</f>
        <v>1</v>
      </c>
      <c r="M17" s="160">
        <f>'Feature Game Calculations'!F18</f>
        <v>6</v>
      </c>
    </row>
    <row r="18" spans="1:19" x14ac:dyDescent="0.25">
      <c r="A18" s="158" t="str">
        <f>'Base Game Calculations'!A19</f>
        <v>T</v>
      </c>
      <c r="B18" s="159">
        <f>'Base Game Calculations'!B19</f>
        <v>3</v>
      </c>
      <c r="C18" s="159">
        <f>'Base Game Calculations'!C19</f>
        <v>10</v>
      </c>
      <c r="D18" s="159">
        <f>'Base Game Calculations'!D19</f>
        <v>10</v>
      </c>
      <c r="E18" s="159">
        <f>'Base Game Calculations'!E19</f>
        <v>6</v>
      </c>
      <c r="F18" s="160">
        <f>'Base Game Calculations'!F19</f>
        <v>2</v>
      </c>
      <c r="H18" s="158" t="str">
        <f>'Feature Game Calculations'!A19</f>
        <v>T</v>
      </c>
      <c r="I18" s="159">
        <f>'Feature Game Calculations'!B19</f>
        <v>4</v>
      </c>
      <c r="J18" s="159">
        <f>'Feature Game Calculations'!C19</f>
        <v>10</v>
      </c>
      <c r="K18" s="159">
        <f>'Feature Game Calculations'!D19</f>
        <v>6</v>
      </c>
      <c r="L18" s="159">
        <f>'Feature Game Calculations'!E19</f>
        <v>10</v>
      </c>
      <c r="M18" s="160">
        <f>'Feature Game Calculations'!F19</f>
        <v>2</v>
      </c>
    </row>
    <row r="19" spans="1:19" x14ac:dyDescent="0.25">
      <c r="A19" s="158" t="str">
        <f>'Base Game Calculations'!A20</f>
        <v>S</v>
      </c>
      <c r="B19" s="159">
        <f>'Base Game Calculations'!B20</f>
        <v>1</v>
      </c>
      <c r="C19" s="159">
        <f>'Base Game Calculations'!C20</f>
        <v>1</v>
      </c>
      <c r="D19" s="159">
        <f>'Base Game Calculations'!D20</f>
        <v>2</v>
      </c>
      <c r="E19" s="159">
        <f>'Base Game Calculations'!E20</f>
        <v>1</v>
      </c>
      <c r="F19" s="160">
        <f>'Base Game Calculations'!F20</f>
        <v>1</v>
      </c>
      <c r="H19" s="158" t="str">
        <f>'Feature Game Calculations'!A20</f>
        <v>S</v>
      </c>
      <c r="I19" s="159">
        <f>'Feature Game Calculations'!B20</f>
        <v>1</v>
      </c>
      <c r="J19" s="159">
        <f>'Feature Game Calculations'!C20</f>
        <v>1</v>
      </c>
      <c r="K19" s="159">
        <f>'Feature Game Calculations'!D20</f>
        <v>1</v>
      </c>
      <c r="L19" s="159">
        <f>'Feature Game Calculations'!E20</f>
        <v>1</v>
      </c>
      <c r="M19" s="160">
        <f>'Feature Game Calculations'!F20</f>
        <v>1</v>
      </c>
    </row>
    <row r="20" spans="1:19" ht="13" thickBot="1" x14ac:dyDescent="0.3">
      <c r="A20" s="55" t="s">
        <v>49</v>
      </c>
      <c r="B20" s="56">
        <f>SUM(B8:B19)</f>
        <v>51</v>
      </c>
      <c r="C20" s="56">
        <f>SUM(C8:C19)</f>
        <v>51</v>
      </c>
      <c r="D20" s="56">
        <f>SUM(D8:D19)</f>
        <v>51</v>
      </c>
      <c r="E20" s="56">
        <f>SUM(E8:E19)</f>
        <v>51</v>
      </c>
      <c r="F20" s="57">
        <f>SUM(F8:F19)</f>
        <v>51</v>
      </c>
      <c r="H20" s="55" t="s">
        <v>49</v>
      </c>
      <c r="I20" s="56">
        <f>SUM(I8:I19)</f>
        <v>51</v>
      </c>
      <c r="J20" s="56">
        <f>SUM(J8:J19)</f>
        <v>51</v>
      </c>
      <c r="K20" s="56">
        <f>SUM(K8:K19)</f>
        <v>51</v>
      </c>
      <c r="L20" s="56">
        <f>SUM(L8:L19)</f>
        <v>51</v>
      </c>
      <c r="M20" s="57">
        <f>SUM(M8:M19)</f>
        <v>51</v>
      </c>
    </row>
    <row r="21" spans="1:19" x14ac:dyDescent="0.25">
      <c r="A21" s="11"/>
      <c r="B21" s="11"/>
      <c r="C21" s="11"/>
      <c r="D21" s="11"/>
      <c r="E21" s="11"/>
      <c r="F21" s="11"/>
      <c r="H21" s="11"/>
      <c r="I21" s="11"/>
      <c r="J21" s="11"/>
      <c r="K21" s="11"/>
      <c r="L21" s="11"/>
      <c r="M21" s="11"/>
    </row>
    <row r="22" spans="1:19" ht="13" x14ac:dyDescent="0.3">
      <c r="A22" s="4" t="s">
        <v>107</v>
      </c>
      <c r="H22" s="4" t="s">
        <v>108</v>
      </c>
      <c r="I22" s="16"/>
      <c r="J22" s="16"/>
      <c r="K22" s="16"/>
      <c r="L22" s="16"/>
      <c r="M22" s="16"/>
    </row>
    <row r="23" spans="1:19" s="20" customFormat="1" ht="13" x14ac:dyDescent="0.3">
      <c r="A23" s="20" t="s">
        <v>109</v>
      </c>
      <c r="B23" s="20" t="s">
        <v>14</v>
      </c>
      <c r="C23" s="20" t="s">
        <v>15</v>
      </c>
      <c r="D23" s="20" t="s">
        <v>16</v>
      </c>
      <c r="E23" s="20" t="s">
        <v>17</v>
      </c>
      <c r="F23" s="20" t="s">
        <v>18</v>
      </c>
      <c r="G23"/>
      <c r="H23" s="20" t="s">
        <v>109</v>
      </c>
      <c r="I23" s="20" t="s">
        <v>14</v>
      </c>
      <c r="J23" s="20" t="s">
        <v>15</v>
      </c>
      <c r="K23" s="20" t="s">
        <v>16</v>
      </c>
      <c r="L23" s="20" t="s">
        <v>17</v>
      </c>
      <c r="M23" s="20" t="s">
        <v>18</v>
      </c>
    </row>
    <row r="24" spans="1:19" ht="13" x14ac:dyDescent="0.3">
      <c r="A24" s="20">
        <v>1</v>
      </c>
      <c r="B24" s="149" t="s">
        <v>26</v>
      </c>
      <c r="C24" s="149" t="s">
        <v>10</v>
      </c>
      <c r="D24" s="16" t="s">
        <v>23</v>
      </c>
      <c r="E24" s="16" t="s">
        <v>10</v>
      </c>
      <c r="F24" s="149" t="s">
        <v>10</v>
      </c>
      <c r="H24" s="20">
        <v>1</v>
      </c>
      <c r="I24" s="149" t="s">
        <v>30</v>
      </c>
      <c r="J24" s="149" t="s">
        <v>26</v>
      </c>
      <c r="K24" s="16" t="s">
        <v>10</v>
      </c>
      <c r="L24" s="16" t="s">
        <v>10</v>
      </c>
      <c r="M24" s="149" t="s">
        <v>10</v>
      </c>
      <c r="Q24" t="str">
        <f>IF(B24="","",_xlfn.CONCAT(B24,";",C24,";",D24,";",E24,";",F24))</f>
        <v>G2;A3;G1;A3;A3</v>
      </c>
      <c r="S24" t="str">
        <f>IF(I24="","",_xlfn.CONCAT(I24,";",J24,";",K24,";",L24,";",M24))</f>
        <v>A2;G2;A3;A3;A3</v>
      </c>
    </row>
    <row r="25" spans="1:19" ht="13" x14ac:dyDescent="0.3">
      <c r="A25" s="20">
        <f t="shared" ref="A25:A56" si="0">A24+1</f>
        <v>2</v>
      </c>
      <c r="B25" s="149" t="s">
        <v>37</v>
      </c>
      <c r="C25" s="149" t="s">
        <v>47</v>
      </c>
      <c r="D25" s="16" t="s">
        <v>34</v>
      </c>
      <c r="E25" s="16" t="s">
        <v>40</v>
      </c>
      <c r="F25" s="149" t="s">
        <v>42</v>
      </c>
      <c r="H25" s="20">
        <f t="shared" ref="H25:H56" si="1">H24+1</f>
        <v>2</v>
      </c>
      <c r="I25" s="149" t="s">
        <v>47</v>
      </c>
      <c r="J25" s="149" t="s">
        <v>40</v>
      </c>
      <c r="K25" s="16" t="s">
        <v>47</v>
      </c>
      <c r="L25" s="16" t="s">
        <v>40</v>
      </c>
      <c r="M25" s="149" t="s">
        <v>34</v>
      </c>
      <c r="Q25" t="str">
        <f t="shared" ref="Q25:Q81" si="2">IF(B25="","",_xlfn.CONCAT(B25,";",C25,";",D25,";",E25,";",F25))</f>
        <v>A;T;A1;K;Q</v>
      </c>
      <c r="S25" t="str">
        <f t="shared" ref="S25:S74" si="3">IF(I25="","",_xlfn.CONCAT(I25,";",J25,";",K25,";",L25,";",M25))</f>
        <v>T;K;T;K;A1</v>
      </c>
    </row>
    <row r="26" spans="1:19" ht="13" x14ac:dyDescent="0.3">
      <c r="A26" s="20">
        <f t="shared" si="0"/>
        <v>3</v>
      </c>
      <c r="B26" s="149" t="s">
        <v>47</v>
      </c>
      <c r="C26" s="149" t="s">
        <v>34</v>
      </c>
      <c r="D26" s="16" t="s">
        <v>47</v>
      </c>
      <c r="E26" s="16" t="s">
        <v>37</v>
      </c>
      <c r="F26" s="149" t="s">
        <v>34</v>
      </c>
      <c r="H26" s="20">
        <f t="shared" si="1"/>
        <v>3</v>
      </c>
      <c r="I26" s="149" t="s">
        <v>37</v>
      </c>
      <c r="J26" s="149" t="s">
        <v>42</v>
      </c>
      <c r="K26" s="149" t="s">
        <v>34</v>
      </c>
      <c r="L26" s="16" t="s">
        <v>34</v>
      </c>
      <c r="M26" s="149" t="s">
        <v>40</v>
      </c>
      <c r="Q26" t="str">
        <f t="shared" si="2"/>
        <v>T;A1;T;A;A1</v>
      </c>
      <c r="S26" t="str">
        <f t="shared" si="3"/>
        <v>A;Q;A1;A1;K</v>
      </c>
    </row>
    <row r="27" spans="1:19" ht="13" x14ac:dyDescent="0.3">
      <c r="A27" s="20">
        <f t="shared" si="0"/>
        <v>4</v>
      </c>
      <c r="B27" s="149" t="s">
        <v>42</v>
      </c>
      <c r="C27" s="149" t="s">
        <v>40</v>
      </c>
      <c r="D27" s="149" t="s">
        <v>40</v>
      </c>
      <c r="E27" s="16" t="s">
        <v>47</v>
      </c>
      <c r="F27" s="149" t="s">
        <v>30</v>
      </c>
      <c r="G27" s="16"/>
      <c r="H27" s="20">
        <f t="shared" si="1"/>
        <v>4</v>
      </c>
      <c r="I27" s="149" t="s">
        <v>45</v>
      </c>
      <c r="J27" s="149" t="s">
        <v>47</v>
      </c>
      <c r="K27" s="16" t="s">
        <v>40</v>
      </c>
      <c r="L27" s="16" t="s">
        <v>47</v>
      </c>
      <c r="M27" s="149" t="s">
        <v>42</v>
      </c>
      <c r="Q27" t="str">
        <f t="shared" si="2"/>
        <v>Q;K;K;T;A2</v>
      </c>
      <c r="S27" t="str">
        <f t="shared" si="3"/>
        <v>J;T;K;T;Q</v>
      </c>
    </row>
    <row r="28" spans="1:19" ht="13" x14ac:dyDescent="0.3">
      <c r="A28" s="20">
        <f t="shared" si="0"/>
        <v>5</v>
      </c>
      <c r="B28" s="149" t="s">
        <v>30</v>
      </c>
      <c r="C28" s="149" t="s">
        <v>11</v>
      </c>
      <c r="D28" s="16" t="s">
        <v>11</v>
      </c>
      <c r="E28" s="16" t="s">
        <v>11</v>
      </c>
      <c r="F28" s="149" t="s">
        <v>40</v>
      </c>
      <c r="G28" s="16"/>
      <c r="H28" s="20">
        <f t="shared" si="1"/>
        <v>5</v>
      </c>
      <c r="I28" s="149" t="s">
        <v>23</v>
      </c>
      <c r="J28" s="149" t="s">
        <v>11</v>
      </c>
      <c r="K28" s="149" t="s">
        <v>11</v>
      </c>
      <c r="L28" s="16" t="s">
        <v>11</v>
      </c>
      <c r="M28" s="149" t="s">
        <v>23</v>
      </c>
      <c r="Q28" t="str">
        <f t="shared" si="2"/>
        <v>A2;W;W;W;K</v>
      </c>
      <c r="S28" t="str">
        <f t="shared" si="3"/>
        <v>G1;W;W;W;G1</v>
      </c>
    </row>
    <row r="29" spans="1:19" ht="13" x14ac:dyDescent="0.3">
      <c r="A29" s="20">
        <f t="shared" si="0"/>
        <v>6</v>
      </c>
      <c r="B29" s="149" t="s">
        <v>45</v>
      </c>
      <c r="C29" s="149" t="s">
        <v>11</v>
      </c>
      <c r="D29" s="16" t="s">
        <v>11</v>
      </c>
      <c r="E29" s="16" t="s">
        <v>11</v>
      </c>
      <c r="F29" s="149" t="s">
        <v>47</v>
      </c>
      <c r="H29" s="20">
        <f t="shared" si="1"/>
        <v>6</v>
      </c>
      <c r="I29" s="149" t="s">
        <v>23</v>
      </c>
      <c r="J29" s="149" t="s">
        <v>11</v>
      </c>
      <c r="K29" s="149" t="s">
        <v>11</v>
      </c>
      <c r="L29" s="149" t="s">
        <v>11</v>
      </c>
      <c r="M29" s="149" t="s">
        <v>23</v>
      </c>
      <c r="Q29" t="str">
        <f t="shared" si="2"/>
        <v>J;W;W;W;T</v>
      </c>
      <c r="S29" t="str">
        <f t="shared" si="3"/>
        <v>G1;W;W;W;G1</v>
      </c>
    </row>
    <row r="30" spans="1:19" ht="13" x14ac:dyDescent="0.3">
      <c r="A30" s="20">
        <f t="shared" si="0"/>
        <v>7</v>
      </c>
      <c r="B30" s="149" t="s">
        <v>37</v>
      </c>
      <c r="C30" s="149" t="s">
        <v>11</v>
      </c>
      <c r="D30" s="16" t="s">
        <v>11</v>
      </c>
      <c r="E30" s="16" t="s">
        <v>11</v>
      </c>
      <c r="F30" s="149" t="s">
        <v>10</v>
      </c>
      <c r="H30" s="20">
        <f t="shared" si="1"/>
        <v>7</v>
      </c>
      <c r="I30" s="149" t="s">
        <v>23</v>
      </c>
      <c r="J30" s="149" t="s">
        <v>11</v>
      </c>
      <c r="K30" s="149" t="s">
        <v>11</v>
      </c>
      <c r="L30" s="149" t="s">
        <v>11</v>
      </c>
      <c r="M30" s="149" t="s">
        <v>23</v>
      </c>
      <c r="Q30" t="str">
        <f t="shared" si="2"/>
        <v>A;W;W;W;A3</v>
      </c>
      <c r="S30" t="str">
        <f t="shared" si="3"/>
        <v>G1;W;W;W;G1</v>
      </c>
    </row>
    <row r="31" spans="1:19" ht="13" x14ac:dyDescent="0.3">
      <c r="A31" s="20">
        <f t="shared" si="0"/>
        <v>8</v>
      </c>
      <c r="B31" s="149" t="s">
        <v>42</v>
      </c>
      <c r="C31" s="149" t="s">
        <v>11</v>
      </c>
      <c r="D31" s="16" t="s">
        <v>11</v>
      </c>
      <c r="E31" s="16" t="s">
        <v>11</v>
      </c>
      <c r="F31" s="149" t="s">
        <v>42</v>
      </c>
      <c r="H31" s="20">
        <f t="shared" si="1"/>
        <v>8</v>
      </c>
      <c r="I31" s="149" t="s">
        <v>23</v>
      </c>
      <c r="J31" s="149" t="s">
        <v>11</v>
      </c>
      <c r="K31" s="149" t="s">
        <v>11</v>
      </c>
      <c r="L31" s="149" t="s">
        <v>11</v>
      </c>
      <c r="M31" s="149" t="s">
        <v>23</v>
      </c>
      <c r="Q31" t="str">
        <f t="shared" si="2"/>
        <v>Q;W;W;W;Q</v>
      </c>
      <c r="S31" t="str">
        <f t="shared" si="3"/>
        <v>G1;W;W;W;G1</v>
      </c>
    </row>
    <row r="32" spans="1:19" ht="13" x14ac:dyDescent="0.3">
      <c r="A32" s="20">
        <f t="shared" si="0"/>
        <v>9</v>
      </c>
      <c r="B32" s="149" t="s">
        <v>26</v>
      </c>
      <c r="C32" s="149" t="s">
        <v>47</v>
      </c>
      <c r="D32" s="16" t="s">
        <v>34</v>
      </c>
      <c r="E32" s="16" t="s">
        <v>34</v>
      </c>
      <c r="F32" s="149" t="s">
        <v>34</v>
      </c>
      <c r="H32" s="20">
        <f t="shared" si="1"/>
        <v>9</v>
      </c>
      <c r="I32" s="149" t="s">
        <v>42</v>
      </c>
      <c r="J32" s="149" t="s">
        <v>47</v>
      </c>
      <c r="K32" s="149" t="s">
        <v>34</v>
      </c>
      <c r="L32" s="149" t="s">
        <v>37</v>
      </c>
      <c r="M32" s="149" t="s">
        <v>42</v>
      </c>
      <c r="Q32" t="str">
        <f t="shared" si="2"/>
        <v>G2;T;A1;A1;A1</v>
      </c>
      <c r="S32" t="str">
        <f t="shared" si="3"/>
        <v>Q;T;A1;A;Q</v>
      </c>
    </row>
    <row r="33" spans="1:19" ht="13" x14ac:dyDescent="0.3">
      <c r="A33" s="20">
        <f t="shared" si="0"/>
        <v>10</v>
      </c>
      <c r="B33" s="149" t="s">
        <v>45</v>
      </c>
      <c r="C33" s="149" t="s">
        <v>34</v>
      </c>
      <c r="D33" s="16" t="s">
        <v>47</v>
      </c>
      <c r="E33" s="16" t="s">
        <v>42</v>
      </c>
      <c r="F33" s="149" t="s">
        <v>30</v>
      </c>
      <c r="H33" s="20">
        <f t="shared" si="1"/>
        <v>10</v>
      </c>
      <c r="I33" s="149" t="s">
        <v>40</v>
      </c>
      <c r="J33" s="149" t="s">
        <v>34</v>
      </c>
      <c r="K33" s="16" t="s">
        <v>45</v>
      </c>
      <c r="L33" s="16" t="s">
        <v>40</v>
      </c>
      <c r="M33" s="149" t="s">
        <v>37</v>
      </c>
      <c r="Q33" t="str">
        <f t="shared" si="2"/>
        <v>J;A1;T;Q;A2</v>
      </c>
      <c r="S33" t="str">
        <f t="shared" si="3"/>
        <v>K;A1;J;K;A</v>
      </c>
    </row>
    <row r="34" spans="1:19" ht="13" x14ac:dyDescent="0.3">
      <c r="A34" s="20">
        <f t="shared" si="0"/>
        <v>11</v>
      </c>
      <c r="B34" s="149" t="s">
        <v>34</v>
      </c>
      <c r="C34" s="149" t="s">
        <v>40</v>
      </c>
      <c r="D34" s="16" t="s">
        <v>40</v>
      </c>
      <c r="E34" s="16" t="s">
        <v>37</v>
      </c>
      <c r="F34" s="149" t="s">
        <v>40</v>
      </c>
      <c r="H34" s="20">
        <f t="shared" si="1"/>
        <v>11</v>
      </c>
      <c r="I34" s="149" t="s">
        <v>37</v>
      </c>
      <c r="J34" s="149" t="s">
        <v>26</v>
      </c>
      <c r="K34" s="16" t="s">
        <v>26</v>
      </c>
      <c r="L34" s="16" t="s">
        <v>10</v>
      </c>
      <c r="M34" s="149" t="s">
        <v>10</v>
      </c>
      <c r="Q34" t="str">
        <f t="shared" si="2"/>
        <v>A1;K;K;A;K</v>
      </c>
      <c r="S34" t="str">
        <f t="shared" si="3"/>
        <v>A;G2;G2;A3;A3</v>
      </c>
    </row>
    <row r="35" spans="1:19" ht="13" x14ac:dyDescent="0.3">
      <c r="A35" s="20">
        <f t="shared" si="0"/>
        <v>12</v>
      </c>
      <c r="B35" s="149" t="s">
        <v>37</v>
      </c>
      <c r="C35" s="149" t="s">
        <v>10</v>
      </c>
      <c r="D35" s="16" t="s">
        <v>10</v>
      </c>
      <c r="E35" s="16" t="s">
        <v>23</v>
      </c>
      <c r="F35" s="149" t="s">
        <v>42</v>
      </c>
      <c r="H35" s="20">
        <f t="shared" si="1"/>
        <v>12</v>
      </c>
      <c r="I35" s="149" t="s">
        <v>30</v>
      </c>
      <c r="J35" s="149" t="s">
        <v>40</v>
      </c>
      <c r="K35" s="16" t="s">
        <v>40</v>
      </c>
      <c r="L35" s="16" t="s">
        <v>47</v>
      </c>
      <c r="M35" s="149" t="s">
        <v>40</v>
      </c>
      <c r="Q35" t="str">
        <f t="shared" si="2"/>
        <v>A;A3;A3;G1;Q</v>
      </c>
      <c r="S35" t="str">
        <f t="shared" si="3"/>
        <v>A2;K;K;T;K</v>
      </c>
    </row>
    <row r="36" spans="1:19" ht="13" x14ac:dyDescent="0.3">
      <c r="A36" s="20">
        <f t="shared" si="0"/>
        <v>13</v>
      </c>
      <c r="B36" s="149" t="s">
        <v>30</v>
      </c>
      <c r="C36" s="149" t="s">
        <v>47</v>
      </c>
      <c r="D36" s="16" t="s">
        <v>34</v>
      </c>
      <c r="E36" s="16" t="s">
        <v>47</v>
      </c>
      <c r="F36" s="149" t="s">
        <v>23</v>
      </c>
      <c r="H36" s="20">
        <f t="shared" si="1"/>
        <v>13</v>
      </c>
      <c r="I36" s="149" t="s">
        <v>45</v>
      </c>
      <c r="J36" s="149" t="s">
        <v>47</v>
      </c>
      <c r="K36" s="16" t="s">
        <v>47</v>
      </c>
      <c r="L36" s="16" t="s">
        <v>34</v>
      </c>
      <c r="M36" s="149" t="s">
        <v>42</v>
      </c>
      <c r="Q36" t="str">
        <f t="shared" si="2"/>
        <v>A2;T;A1;T;G1</v>
      </c>
      <c r="S36" t="str">
        <f t="shared" si="3"/>
        <v>J;T;T;A1;Q</v>
      </c>
    </row>
    <row r="37" spans="1:19" ht="13" x14ac:dyDescent="0.3">
      <c r="A37" s="20">
        <f t="shared" si="0"/>
        <v>14</v>
      </c>
      <c r="B37" s="149" t="s">
        <v>42</v>
      </c>
      <c r="C37" s="149" t="s">
        <v>42</v>
      </c>
      <c r="D37" s="16" t="s">
        <v>37</v>
      </c>
      <c r="E37" s="16" t="s">
        <v>40</v>
      </c>
      <c r="F37" s="149" t="s">
        <v>37</v>
      </c>
      <c r="H37" s="20">
        <f t="shared" si="1"/>
        <v>14</v>
      </c>
      <c r="I37" s="149" t="s">
        <v>42</v>
      </c>
      <c r="J37" s="149" t="s">
        <v>30</v>
      </c>
      <c r="K37" s="16" t="s">
        <v>30</v>
      </c>
      <c r="L37" s="16" t="s">
        <v>26</v>
      </c>
      <c r="M37" s="149" t="s">
        <v>30</v>
      </c>
      <c r="Q37" t="str">
        <f t="shared" si="2"/>
        <v>Q;Q;A;K;A</v>
      </c>
      <c r="S37" t="str">
        <f t="shared" si="3"/>
        <v>Q;A2;A2;G2;A2</v>
      </c>
    </row>
    <row r="38" spans="1:19" ht="13" x14ac:dyDescent="0.3">
      <c r="A38" s="20">
        <f t="shared" si="0"/>
        <v>15</v>
      </c>
      <c r="B38" s="149" t="s">
        <v>45</v>
      </c>
      <c r="C38" s="149" t="s">
        <v>34</v>
      </c>
      <c r="D38" s="16" t="s">
        <v>47</v>
      </c>
      <c r="E38" s="16" t="s">
        <v>34</v>
      </c>
      <c r="F38" s="149" t="s">
        <v>34</v>
      </c>
      <c r="H38" s="20">
        <f t="shared" si="1"/>
        <v>15</v>
      </c>
      <c r="I38" s="149" t="s">
        <v>10</v>
      </c>
      <c r="J38" s="149" t="s">
        <v>34</v>
      </c>
      <c r="K38" s="16" t="s">
        <v>34</v>
      </c>
      <c r="L38" s="16" t="s">
        <v>37</v>
      </c>
      <c r="M38" s="149" t="s">
        <v>47</v>
      </c>
      <c r="Q38" t="str">
        <f t="shared" si="2"/>
        <v>J;A1;T;A1;A1</v>
      </c>
      <c r="S38" t="str">
        <f t="shared" si="3"/>
        <v>A3;A1;A1;A;T</v>
      </c>
    </row>
    <row r="39" spans="1:19" ht="13" x14ac:dyDescent="0.3">
      <c r="A39" s="20">
        <f t="shared" si="0"/>
        <v>16</v>
      </c>
      <c r="B39" s="149" t="s">
        <v>37</v>
      </c>
      <c r="C39" s="149" t="s">
        <v>32</v>
      </c>
      <c r="D39" s="16" t="s">
        <v>32</v>
      </c>
      <c r="E39" s="16" t="s">
        <v>10</v>
      </c>
      <c r="F39" s="149" t="s">
        <v>10</v>
      </c>
      <c r="H39" s="20">
        <f t="shared" si="1"/>
        <v>16</v>
      </c>
      <c r="I39" s="149" t="s">
        <v>37</v>
      </c>
      <c r="J39" s="149" t="s">
        <v>40</v>
      </c>
      <c r="K39" s="16" t="s">
        <v>40</v>
      </c>
      <c r="L39" s="16" t="s">
        <v>45</v>
      </c>
      <c r="M39" s="149" t="s">
        <v>37</v>
      </c>
      <c r="Q39" t="str">
        <f t="shared" si="2"/>
        <v>A;S;S;A3;A3</v>
      </c>
      <c r="S39" t="str">
        <f t="shared" si="3"/>
        <v>A;K;K;J;A</v>
      </c>
    </row>
    <row r="40" spans="1:19" ht="13" x14ac:dyDescent="0.3">
      <c r="A40" s="20">
        <f t="shared" si="0"/>
        <v>17</v>
      </c>
      <c r="B40" s="149" t="s">
        <v>23</v>
      </c>
      <c r="C40" s="149" t="s">
        <v>40</v>
      </c>
      <c r="D40" s="16" t="s">
        <v>40</v>
      </c>
      <c r="E40" s="16" t="s">
        <v>37</v>
      </c>
      <c r="F40" s="149" t="s">
        <v>40</v>
      </c>
      <c r="H40" s="20">
        <f t="shared" si="1"/>
        <v>17</v>
      </c>
      <c r="I40" s="149" t="s">
        <v>47</v>
      </c>
      <c r="J40" s="149" t="s">
        <v>37</v>
      </c>
      <c r="K40" s="16" t="s">
        <v>37</v>
      </c>
      <c r="L40" s="16" t="s">
        <v>47</v>
      </c>
      <c r="M40" s="149" t="s">
        <v>40</v>
      </c>
      <c r="Q40" t="str">
        <f t="shared" si="2"/>
        <v>G1;K;K;A;K</v>
      </c>
      <c r="S40" t="str">
        <f t="shared" si="3"/>
        <v>T;A;A;T;K</v>
      </c>
    </row>
    <row r="41" spans="1:19" ht="13" x14ac:dyDescent="0.3">
      <c r="A41" s="20">
        <f t="shared" si="0"/>
        <v>18</v>
      </c>
      <c r="B41" s="149" t="s">
        <v>42</v>
      </c>
      <c r="C41" s="149" t="s">
        <v>37</v>
      </c>
      <c r="D41" s="16" t="s">
        <v>45</v>
      </c>
      <c r="E41" s="16" t="s">
        <v>47</v>
      </c>
      <c r="F41" s="149" t="s">
        <v>42</v>
      </c>
      <c r="H41" s="20">
        <f t="shared" si="1"/>
        <v>18</v>
      </c>
      <c r="I41" s="149" t="s">
        <v>45</v>
      </c>
      <c r="J41" s="149" t="s">
        <v>10</v>
      </c>
      <c r="K41" s="16" t="s">
        <v>26</v>
      </c>
      <c r="L41" s="16" t="s">
        <v>30</v>
      </c>
      <c r="M41" s="149" t="s">
        <v>10</v>
      </c>
      <c r="Q41" t="str">
        <f t="shared" si="2"/>
        <v>Q;A;J;T;Q</v>
      </c>
      <c r="S41" t="str">
        <f t="shared" si="3"/>
        <v>J;A3;G2;A2;A3</v>
      </c>
    </row>
    <row r="42" spans="1:19" ht="13" x14ac:dyDescent="0.3">
      <c r="A42" s="20">
        <f t="shared" si="0"/>
        <v>19</v>
      </c>
      <c r="B42" s="149" t="s">
        <v>47</v>
      </c>
      <c r="C42" s="149" t="s">
        <v>47</v>
      </c>
      <c r="D42" s="16" t="s">
        <v>34</v>
      </c>
      <c r="E42" s="16" t="s">
        <v>40</v>
      </c>
      <c r="F42" s="149" t="s">
        <v>30</v>
      </c>
      <c r="H42" s="20">
        <f t="shared" si="1"/>
        <v>19</v>
      </c>
      <c r="I42" s="149" t="s">
        <v>30</v>
      </c>
      <c r="J42" s="149" t="s">
        <v>47</v>
      </c>
      <c r="K42" s="16" t="s">
        <v>47</v>
      </c>
      <c r="L42" s="16" t="s">
        <v>40</v>
      </c>
      <c r="M42" s="149" t="s">
        <v>42</v>
      </c>
      <c r="Q42" t="str">
        <f t="shared" si="2"/>
        <v>T;T;A1;K;A2</v>
      </c>
      <c r="S42" t="str">
        <f t="shared" si="3"/>
        <v>A2;T;T;K;Q</v>
      </c>
    </row>
    <row r="43" spans="1:19" ht="13" x14ac:dyDescent="0.3">
      <c r="A43" s="20">
        <f t="shared" si="0"/>
        <v>20</v>
      </c>
      <c r="B43" s="149" t="s">
        <v>45</v>
      </c>
      <c r="C43" s="149" t="s">
        <v>23</v>
      </c>
      <c r="D43" s="16" t="s">
        <v>23</v>
      </c>
      <c r="E43" s="149" t="s">
        <v>26</v>
      </c>
      <c r="F43" s="149" t="s">
        <v>34</v>
      </c>
      <c r="H43" s="20">
        <f t="shared" si="1"/>
        <v>20</v>
      </c>
      <c r="I43" s="149" t="s">
        <v>42</v>
      </c>
      <c r="J43" s="149" t="s">
        <v>40</v>
      </c>
      <c r="K43" s="16" t="s">
        <v>34</v>
      </c>
      <c r="L43" s="149" t="s">
        <v>34</v>
      </c>
      <c r="M43" s="149" t="s">
        <v>45</v>
      </c>
      <c r="Q43" t="str">
        <f t="shared" si="2"/>
        <v>J;G1;G1;G2;A1</v>
      </c>
      <c r="S43" t="str">
        <f t="shared" si="3"/>
        <v>Q;K;A1;A1;J</v>
      </c>
    </row>
    <row r="44" spans="1:19" ht="13" x14ac:dyDescent="0.3">
      <c r="A44" s="20">
        <f t="shared" si="0"/>
        <v>21</v>
      </c>
      <c r="B44" s="149" t="s">
        <v>26</v>
      </c>
      <c r="C44" s="149" t="s">
        <v>34</v>
      </c>
      <c r="D44" s="16" t="s">
        <v>47</v>
      </c>
      <c r="E44" s="16" t="s">
        <v>37</v>
      </c>
      <c r="F44" s="149" t="s">
        <v>45</v>
      </c>
      <c r="H44" s="20">
        <f t="shared" si="1"/>
        <v>21</v>
      </c>
      <c r="I44" s="149" t="s">
        <v>37</v>
      </c>
      <c r="J44" s="149" t="s">
        <v>34</v>
      </c>
      <c r="K44" s="16" t="s">
        <v>10</v>
      </c>
      <c r="L44" s="16" t="s">
        <v>10</v>
      </c>
      <c r="M44" s="149" t="s">
        <v>26</v>
      </c>
      <c r="Q44" t="str">
        <f t="shared" si="2"/>
        <v>G2;A1;T;A;J</v>
      </c>
      <c r="S44" t="str">
        <f t="shared" si="3"/>
        <v>A;A1;A3;A3;G2</v>
      </c>
    </row>
    <row r="45" spans="1:19" ht="13" x14ac:dyDescent="0.3">
      <c r="A45" s="20">
        <f t="shared" si="0"/>
        <v>22</v>
      </c>
      <c r="B45" s="149" t="s">
        <v>37</v>
      </c>
      <c r="C45" s="149" t="s">
        <v>40</v>
      </c>
      <c r="D45" s="16" t="s">
        <v>40</v>
      </c>
      <c r="E45" s="16" t="s">
        <v>47</v>
      </c>
      <c r="F45" s="149" t="s">
        <v>26</v>
      </c>
      <c r="H45" s="20">
        <f t="shared" si="1"/>
        <v>22</v>
      </c>
      <c r="I45" s="149" t="s">
        <v>45</v>
      </c>
      <c r="J45" s="149" t="s">
        <v>47</v>
      </c>
      <c r="K45" s="16" t="s">
        <v>40</v>
      </c>
      <c r="L45" s="16" t="s">
        <v>47</v>
      </c>
      <c r="M45" s="149" t="s">
        <v>40</v>
      </c>
      <c r="Q45" t="str">
        <f t="shared" si="2"/>
        <v>A;K;K;T;G2</v>
      </c>
      <c r="S45" t="str">
        <f t="shared" si="3"/>
        <v>J;T;K;T;K</v>
      </c>
    </row>
    <row r="46" spans="1:19" ht="13" x14ac:dyDescent="0.3">
      <c r="A46" s="20">
        <f t="shared" si="0"/>
        <v>23</v>
      </c>
      <c r="B46" s="149" t="s">
        <v>42</v>
      </c>
      <c r="C46" s="149" t="s">
        <v>26</v>
      </c>
      <c r="D46" s="16" t="s">
        <v>10</v>
      </c>
      <c r="E46" s="149" t="s">
        <v>23</v>
      </c>
      <c r="F46" s="149" t="s">
        <v>40</v>
      </c>
      <c r="H46" s="20">
        <f t="shared" si="1"/>
        <v>23</v>
      </c>
      <c r="I46" s="149" t="s">
        <v>30</v>
      </c>
      <c r="J46" s="149" t="s">
        <v>26</v>
      </c>
      <c r="K46" s="16" t="s">
        <v>45</v>
      </c>
      <c r="L46" s="149" t="s">
        <v>37</v>
      </c>
      <c r="M46" s="149" t="s">
        <v>37</v>
      </c>
      <c r="Q46" t="str">
        <f t="shared" si="2"/>
        <v>Q;G2;A3;G1;K</v>
      </c>
      <c r="S46" t="str">
        <f t="shared" si="3"/>
        <v>A2;G2;J;A;A</v>
      </c>
    </row>
    <row r="47" spans="1:19" ht="13" x14ac:dyDescent="0.3">
      <c r="A47" s="20">
        <f t="shared" si="0"/>
        <v>24</v>
      </c>
      <c r="B47" s="149" t="s">
        <v>45</v>
      </c>
      <c r="C47" s="149" t="s">
        <v>47</v>
      </c>
      <c r="D47" s="16" t="s">
        <v>34</v>
      </c>
      <c r="E47" s="149" t="s">
        <v>34</v>
      </c>
      <c r="F47" s="149" t="s">
        <v>23</v>
      </c>
      <c r="H47" s="20">
        <f t="shared" si="1"/>
        <v>24</v>
      </c>
      <c r="I47" s="149" t="s">
        <v>42</v>
      </c>
      <c r="J47" s="149" t="s">
        <v>40</v>
      </c>
      <c r="K47" s="16" t="s">
        <v>34</v>
      </c>
      <c r="L47" s="149" t="s">
        <v>40</v>
      </c>
      <c r="M47" s="149" t="s">
        <v>34</v>
      </c>
      <c r="Q47" t="str">
        <f t="shared" si="2"/>
        <v>J;T;A1;A1;G1</v>
      </c>
      <c r="S47" t="str">
        <f t="shared" si="3"/>
        <v>Q;K;A1;K;A1</v>
      </c>
    </row>
    <row r="48" spans="1:19" ht="13" x14ac:dyDescent="0.3">
      <c r="A48" s="20">
        <f t="shared" si="0"/>
        <v>25</v>
      </c>
      <c r="B48" s="149" t="s">
        <v>30</v>
      </c>
      <c r="C48" s="149" t="s">
        <v>42</v>
      </c>
      <c r="D48" s="16" t="s">
        <v>47</v>
      </c>
      <c r="E48" s="16" t="s">
        <v>45</v>
      </c>
      <c r="F48" s="149" t="s">
        <v>42</v>
      </c>
      <c r="H48" s="20">
        <f t="shared" si="1"/>
        <v>25</v>
      </c>
      <c r="I48" s="149" t="s">
        <v>47</v>
      </c>
      <c r="J48" s="149" t="s">
        <v>23</v>
      </c>
      <c r="K48" s="16" t="s">
        <v>23</v>
      </c>
      <c r="L48" s="149" t="s">
        <v>23</v>
      </c>
      <c r="M48" s="149" t="s">
        <v>42</v>
      </c>
      <c r="Q48" t="str">
        <f t="shared" si="2"/>
        <v>A2;Q;T;J;Q</v>
      </c>
      <c r="S48" t="str">
        <f t="shared" si="3"/>
        <v>T;G1;G1;G1;Q</v>
      </c>
    </row>
    <row r="49" spans="1:19" ht="13" x14ac:dyDescent="0.3">
      <c r="A49" s="20">
        <f t="shared" si="0"/>
        <v>26</v>
      </c>
      <c r="B49" s="149" t="s">
        <v>37</v>
      </c>
      <c r="C49" s="149" t="s">
        <v>34</v>
      </c>
      <c r="D49" s="16" t="s">
        <v>40</v>
      </c>
      <c r="E49" s="16" t="s">
        <v>37</v>
      </c>
      <c r="F49" s="149" t="s">
        <v>10</v>
      </c>
      <c r="H49" s="20">
        <f t="shared" si="1"/>
        <v>26</v>
      </c>
      <c r="I49" s="149" t="s">
        <v>37</v>
      </c>
      <c r="J49" s="149" t="s">
        <v>23</v>
      </c>
      <c r="K49" s="16" t="s">
        <v>23</v>
      </c>
      <c r="L49" s="16" t="s">
        <v>23</v>
      </c>
      <c r="M49" s="149" t="s">
        <v>10</v>
      </c>
      <c r="Q49" t="str">
        <f t="shared" si="2"/>
        <v>A;A1;K;A;A3</v>
      </c>
      <c r="S49" t="str">
        <f t="shared" si="3"/>
        <v>A;G1;G1;G1;A3</v>
      </c>
    </row>
    <row r="50" spans="1:19" ht="13" x14ac:dyDescent="0.3">
      <c r="A50" s="20">
        <f t="shared" si="0"/>
        <v>27</v>
      </c>
      <c r="B50" s="149" t="s">
        <v>40</v>
      </c>
      <c r="C50" s="149" t="s">
        <v>10</v>
      </c>
      <c r="D50" s="16" t="s">
        <v>26</v>
      </c>
      <c r="E50" s="16" t="s">
        <v>10</v>
      </c>
      <c r="F50" s="149" t="s">
        <v>34</v>
      </c>
      <c r="H50" s="20">
        <f t="shared" si="1"/>
        <v>27</v>
      </c>
      <c r="I50" s="149" t="s">
        <v>26</v>
      </c>
      <c r="J50" s="149" t="s">
        <v>23</v>
      </c>
      <c r="K50" s="16" t="s">
        <v>23</v>
      </c>
      <c r="L50" s="16" t="s">
        <v>23</v>
      </c>
      <c r="M50" s="149" t="s">
        <v>45</v>
      </c>
      <c r="Q50" t="str">
        <f t="shared" si="2"/>
        <v>K;A3;G2;A3;A1</v>
      </c>
      <c r="S50" t="str">
        <f t="shared" si="3"/>
        <v>G2;G1;G1;G1;J</v>
      </c>
    </row>
    <row r="51" spans="1:19" ht="13" x14ac:dyDescent="0.3">
      <c r="A51" s="20">
        <f t="shared" si="0"/>
        <v>28</v>
      </c>
      <c r="B51" s="149" t="s">
        <v>42</v>
      </c>
      <c r="C51" s="149" t="s">
        <v>40</v>
      </c>
      <c r="D51" s="16" t="s">
        <v>34</v>
      </c>
      <c r="E51" s="16" t="s">
        <v>34</v>
      </c>
      <c r="F51" s="149" t="s">
        <v>40</v>
      </c>
      <c r="H51" s="20">
        <f t="shared" si="1"/>
        <v>28</v>
      </c>
      <c r="I51" s="149" t="s">
        <v>45</v>
      </c>
      <c r="J51" s="149" t="s">
        <v>23</v>
      </c>
      <c r="K51" s="149" t="s">
        <v>23</v>
      </c>
      <c r="L51" s="149" t="s">
        <v>23</v>
      </c>
      <c r="M51" s="149" t="s">
        <v>40</v>
      </c>
      <c r="Q51" t="str">
        <f t="shared" si="2"/>
        <v>Q;K;A1;A1;K</v>
      </c>
      <c r="S51" t="str">
        <f t="shared" si="3"/>
        <v>J;G1;G1;G1;K</v>
      </c>
    </row>
    <row r="52" spans="1:19" ht="13" x14ac:dyDescent="0.3">
      <c r="A52" s="20">
        <f t="shared" si="0"/>
        <v>29</v>
      </c>
      <c r="B52" s="149" t="s">
        <v>32</v>
      </c>
      <c r="C52" s="149" t="s">
        <v>47</v>
      </c>
      <c r="D52" s="16" t="s">
        <v>42</v>
      </c>
      <c r="E52" s="16" t="s">
        <v>40</v>
      </c>
      <c r="F52" s="149" t="s">
        <v>30</v>
      </c>
      <c r="H52" s="20">
        <f t="shared" si="1"/>
        <v>29</v>
      </c>
      <c r="I52" s="149" t="s">
        <v>42</v>
      </c>
      <c r="J52" s="149" t="s">
        <v>34</v>
      </c>
      <c r="K52" s="149" t="s">
        <v>40</v>
      </c>
      <c r="L52" s="149" t="s">
        <v>47</v>
      </c>
      <c r="M52" s="149" t="s">
        <v>42</v>
      </c>
      <c r="Q52" t="str">
        <f t="shared" si="2"/>
        <v>S;T;Q;K;A2</v>
      </c>
      <c r="S52" t="str">
        <f t="shared" si="3"/>
        <v>Q;A1;K;T;Q</v>
      </c>
    </row>
    <row r="53" spans="1:19" ht="13" x14ac:dyDescent="0.3">
      <c r="A53" s="20">
        <f t="shared" si="0"/>
        <v>30</v>
      </c>
      <c r="B53" s="149" t="s">
        <v>45</v>
      </c>
      <c r="C53" s="149" t="s">
        <v>34</v>
      </c>
      <c r="D53" s="16" t="s">
        <v>47</v>
      </c>
      <c r="E53" s="16" t="s">
        <v>47</v>
      </c>
      <c r="F53" s="149" t="s">
        <v>47</v>
      </c>
      <c r="H53" s="20">
        <f t="shared" si="1"/>
        <v>30</v>
      </c>
      <c r="I53" s="149" t="s">
        <v>30</v>
      </c>
      <c r="J53" s="149" t="s">
        <v>40</v>
      </c>
      <c r="K53" s="149" t="s">
        <v>47</v>
      </c>
      <c r="L53" s="149" t="s">
        <v>34</v>
      </c>
      <c r="M53" s="149" t="s">
        <v>30</v>
      </c>
      <c r="Q53" t="str">
        <f t="shared" si="2"/>
        <v>J;A1;T;T;T</v>
      </c>
      <c r="S53" t="str">
        <f t="shared" si="3"/>
        <v>A2;K;T;A1;A2</v>
      </c>
    </row>
    <row r="54" spans="1:19" ht="13" x14ac:dyDescent="0.3">
      <c r="A54" s="20">
        <f t="shared" si="0"/>
        <v>31</v>
      </c>
      <c r="B54" s="149" t="s">
        <v>37</v>
      </c>
      <c r="C54" s="149" t="s">
        <v>30</v>
      </c>
      <c r="D54" s="16" t="s">
        <v>23</v>
      </c>
      <c r="E54" s="16" t="s">
        <v>32</v>
      </c>
      <c r="F54" s="149" t="s">
        <v>42</v>
      </c>
      <c r="H54" s="20">
        <f t="shared" si="1"/>
        <v>31</v>
      </c>
      <c r="I54" s="149" t="s">
        <v>37</v>
      </c>
      <c r="J54" s="149" t="s">
        <v>26</v>
      </c>
      <c r="K54" s="149" t="s">
        <v>26</v>
      </c>
      <c r="L54" s="149" t="s">
        <v>10</v>
      </c>
      <c r="M54" s="149" t="s">
        <v>45</v>
      </c>
      <c r="Q54" t="str">
        <f t="shared" si="2"/>
        <v>A;A2;G1;S;Q</v>
      </c>
      <c r="S54" t="str">
        <f t="shared" si="3"/>
        <v>A;G2;G2;A3;J</v>
      </c>
    </row>
    <row r="55" spans="1:19" ht="13" x14ac:dyDescent="0.3">
      <c r="A55" s="20">
        <f t="shared" si="0"/>
        <v>32</v>
      </c>
      <c r="B55" s="149" t="s">
        <v>42</v>
      </c>
      <c r="C55" s="149" t="s">
        <v>40</v>
      </c>
      <c r="D55" s="149" t="s">
        <v>40</v>
      </c>
      <c r="E55" s="16" t="s">
        <v>37</v>
      </c>
      <c r="F55" s="149" t="s">
        <v>32</v>
      </c>
      <c r="H55" s="20">
        <f t="shared" si="1"/>
        <v>32</v>
      </c>
      <c r="I55" s="149" t="s">
        <v>34</v>
      </c>
      <c r="J55" s="149" t="s">
        <v>47</v>
      </c>
      <c r="K55" s="16" t="s">
        <v>34</v>
      </c>
      <c r="L55" s="16" t="s">
        <v>37</v>
      </c>
      <c r="M55" s="149" t="s">
        <v>47</v>
      </c>
      <c r="Q55" t="str">
        <f t="shared" si="2"/>
        <v>Q;K;K;A;S</v>
      </c>
      <c r="S55" t="str">
        <f t="shared" si="3"/>
        <v>A1;T;A1;A;T</v>
      </c>
    </row>
    <row r="56" spans="1:19" ht="13" x14ac:dyDescent="0.3">
      <c r="A56" s="20">
        <f t="shared" si="0"/>
        <v>33</v>
      </c>
      <c r="B56" s="149" t="s">
        <v>26</v>
      </c>
      <c r="C56" s="149" t="s">
        <v>47</v>
      </c>
      <c r="D56" s="16" t="s">
        <v>34</v>
      </c>
      <c r="E56" s="16" t="s">
        <v>34</v>
      </c>
      <c r="F56" s="149" t="s">
        <v>34</v>
      </c>
      <c r="H56" s="20">
        <f t="shared" si="1"/>
        <v>33</v>
      </c>
      <c r="I56" s="149" t="s">
        <v>40</v>
      </c>
      <c r="J56" s="149" t="s">
        <v>45</v>
      </c>
      <c r="K56" s="16" t="s">
        <v>42</v>
      </c>
      <c r="L56" s="16" t="s">
        <v>47</v>
      </c>
      <c r="M56" s="149" t="s">
        <v>40</v>
      </c>
      <c r="Q56" t="str">
        <f t="shared" si="2"/>
        <v>G2;T;A1;A1;A1</v>
      </c>
      <c r="S56" t="str">
        <f t="shared" si="3"/>
        <v>K;J;Q;T;K</v>
      </c>
    </row>
    <row r="57" spans="1:19" ht="13" x14ac:dyDescent="0.3">
      <c r="A57" s="20">
        <f>A56+1</f>
        <v>34</v>
      </c>
      <c r="B57" s="149" t="s">
        <v>45</v>
      </c>
      <c r="C57" s="149" t="s">
        <v>34</v>
      </c>
      <c r="D57" s="16" t="s">
        <v>10</v>
      </c>
      <c r="E57" s="16" t="s">
        <v>23</v>
      </c>
      <c r="F57" s="149" t="s">
        <v>40</v>
      </c>
      <c r="H57" s="20">
        <f>H56+1</f>
        <v>34</v>
      </c>
      <c r="I57" s="149" t="s">
        <v>10</v>
      </c>
      <c r="J57" s="149" t="s">
        <v>34</v>
      </c>
      <c r="K57" s="16" t="s">
        <v>40</v>
      </c>
      <c r="L57" s="16" t="s">
        <v>40</v>
      </c>
      <c r="M57" s="149" t="s">
        <v>10</v>
      </c>
      <c r="Q57" t="str">
        <f t="shared" si="2"/>
        <v>J;A1;A3;G1;K</v>
      </c>
      <c r="S57" t="str">
        <f t="shared" si="3"/>
        <v>A3;A1;K;K;A3</v>
      </c>
    </row>
    <row r="58" spans="1:19" ht="13" x14ac:dyDescent="0.3">
      <c r="A58" s="20">
        <f>A57+1</f>
        <v>35</v>
      </c>
      <c r="B58" s="149" t="s">
        <v>47</v>
      </c>
      <c r="C58" s="149" t="s">
        <v>10</v>
      </c>
      <c r="D58" s="16" t="s">
        <v>47</v>
      </c>
      <c r="E58" s="16" t="s">
        <v>47</v>
      </c>
      <c r="F58" s="149" t="s">
        <v>10</v>
      </c>
      <c r="H58" s="20">
        <f>H57+1</f>
        <v>35</v>
      </c>
      <c r="I58" s="149" t="s">
        <v>42</v>
      </c>
      <c r="J58" s="149" t="s">
        <v>32</v>
      </c>
      <c r="K58" s="16" t="s">
        <v>32</v>
      </c>
      <c r="L58" s="16" t="s">
        <v>32</v>
      </c>
      <c r="M58" s="149" t="s">
        <v>42</v>
      </c>
      <c r="Q58" t="str">
        <f t="shared" si="2"/>
        <v>T;A3;T;T;A3</v>
      </c>
      <c r="S58" t="str">
        <f t="shared" si="3"/>
        <v>Q;S;S;S;Q</v>
      </c>
    </row>
    <row r="59" spans="1:19" ht="13" x14ac:dyDescent="0.3">
      <c r="A59" s="20">
        <f>A58+1</f>
        <v>36</v>
      </c>
      <c r="B59" s="149" t="s">
        <v>37</v>
      </c>
      <c r="C59" s="149" t="s">
        <v>45</v>
      </c>
      <c r="D59" s="16" t="s">
        <v>45</v>
      </c>
      <c r="E59" s="16" t="s">
        <v>40</v>
      </c>
      <c r="F59" s="149" t="s">
        <v>42</v>
      </c>
      <c r="H59" s="20">
        <f>H58+1</f>
        <v>36</v>
      </c>
      <c r="I59" s="149" t="s">
        <v>37</v>
      </c>
      <c r="J59" s="149" t="s">
        <v>40</v>
      </c>
      <c r="K59" s="16" t="s">
        <v>47</v>
      </c>
      <c r="L59" s="16" t="s">
        <v>34</v>
      </c>
      <c r="M59" s="149" t="s">
        <v>45</v>
      </c>
      <c r="Q59" t="str">
        <f t="shared" si="2"/>
        <v>A;J;J;K;Q</v>
      </c>
      <c r="S59" t="str">
        <f t="shared" si="3"/>
        <v>A;K;T;A1;J</v>
      </c>
    </row>
    <row r="60" spans="1:19" ht="13" x14ac:dyDescent="0.3">
      <c r="A60" s="20">
        <f t="shared" ref="A60:A82" si="4">A59+1</f>
        <v>37</v>
      </c>
      <c r="B60" s="149" t="s">
        <v>30</v>
      </c>
      <c r="C60" s="149" t="s">
        <v>40</v>
      </c>
      <c r="D60" s="16" t="s">
        <v>40</v>
      </c>
      <c r="E60" s="149" t="s">
        <v>37</v>
      </c>
      <c r="F60" s="149" t="s">
        <v>34</v>
      </c>
      <c r="H60" s="20">
        <f t="shared" ref="H60:H82" si="5">H59+1</f>
        <v>37</v>
      </c>
      <c r="I60" s="149" t="s">
        <v>45</v>
      </c>
      <c r="J60" s="149" t="s">
        <v>47</v>
      </c>
      <c r="K60" s="16" t="s">
        <v>34</v>
      </c>
      <c r="L60" s="16" t="s">
        <v>47</v>
      </c>
      <c r="M60" s="149" t="s">
        <v>26</v>
      </c>
      <c r="Q60" t="str">
        <f t="shared" si="2"/>
        <v>A2;K;K;A;A1</v>
      </c>
      <c r="S60" t="str">
        <f t="shared" si="3"/>
        <v>J;T;A1;T;G2</v>
      </c>
    </row>
    <row r="61" spans="1:19" ht="13" x14ac:dyDescent="0.3">
      <c r="A61" s="20">
        <f t="shared" si="4"/>
        <v>38</v>
      </c>
      <c r="B61" s="149" t="s">
        <v>42</v>
      </c>
      <c r="C61" s="149" t="s">
        <v>34</v>
      </c>
      <c r="D61" s="16" t="s">
        <v>32</v>
      </c>
      <c r="E61" s="16" t="s">
        <v>30</v>
      </c>
      <c r="F61" s="149" t="s">
        <v>30</v>
      </c>
      <c r="H61" s="20">
        <f t="shared" si="5"/>
        <v>38</v>
      </c>
      <c r="I61" s="149" t="s">
        <v>30</v>
      </c>
      <c r="J61" s="149" t="s">
        <v>26</v>
      </c>
      <c r="K61" s="16" t="s">
        <v>10</v>
      </c>
      <c r="L61" s="16" t="s">
        <v>10</v>
      </c>
      <c r="M61" s="149" t="s">
        <v>40</v>
      </c>
      <c r="Q61" t="str">
        <f t="shared" si="2"/>
        <v>Q;A1;S;A2;A2</v>
      </c>
      <c r="S61" t="str">
        <f t="shared" si="3"/>
        <v>A2;G2;A3;A3;K</v>
      </c>
    </row>
    <row r="62" spans="1:19" ht="13" x14ac:dyDescent="0.3">
      <c r="A62" s="20">
        <f t="shared" si="4"/>
        <v>39</v>
      </c>
      <c r="B62" s="149" t="s">
        <v>45</v>
      </c>
      <c r="C62" s="149" t="s">
        <v>47</v>
      </c>
      <c r="D62" s="16" t="s">
        <v>34</v>
      </c>
      <c r="E62" s="16" t="s">
        <v>34</v>
      </c>
      <c r="F62" s="149" t="s">
        <v>40</v>
      </c>
      <c r="H62" s="20">
        <f t="shared" si="5"/>
        <v>39</v>
      </c>
      <c r="I62" s="149" t="s">
        <v>42</v>
      </c>
      <c r="J62" s="149" t="s">
        <v>34</v>
      </c>
      <c r="K62" s="16" t="s">
        <v>40</v>
      </c>
      <c r="L62" s="149" t="s">
        <v>37</v>
      </c>
      <c r="M62" s="149" t="s">
        <v>42</v>
      </c>
      <c r="Q62" t="str">
        <f t="shared" si="2"/>
        <v>J;T;A1;A1;K</v>
      </c>
      <c r="S62" t="str">
        <f t="shared" si="3"/>
        <v>Q;A1;K;A;Q</v>
      </c>
    </row>
    <row r="63" spans="1:19" ht="13" x14ac:dyDescent="0.3">
      <c r="A63" s="20">
        <f t="shared" si="4"/>
        <v>40</v>
      </c>
      <c r="B63" s="149" t="s">
        <v>37</v>
      </c>
      <c r="C63" s="149" t="s">
        <v>30</v>
      </c>
      <c r="D63" s="16" t="s">
        <v>47</v>
      </c>
      <c r="E63" s="16" t="s">
        <v>40</v>
      </c>
      <c r="F63" s="149" t="s">
        <v>42</v>
      </c>
      <c r="H63" s="20">
        <f t="shared" si="5"/>
        <v>40</v>
      </c>
      <c r="I63" s="149" t="s">
        <v>47</v>
      </c>
      <c r="J63" s="149" t="s">
        <v>42</v>
      </c>
      <c r="K63" s="16" t="s">
        <v>45</v>
      </c>
      <c r="L63" s="16" t="s">
        <v>40</v>
      </c>
      <c r="M63" s="149" t="s">
        <v>37</v>
      </c>
      <c r="Q63" t="str">
        <f t="shared" si="2"/>
        <v>A;A2;T;K;Q</v>
      </c>
      <c r="S63" t="str">
        <f t="shared" si="3"/>
        <v>T;Q;J;K;A</v>
      </c>
    </row>
    <row r="64" spans="1:19" ht="13" x14ac:dyDescent="0.3">
      <c r="A64" s="20">
        <f t="shared" si="4"/>
        <v>41</v>
      </c>
      <c r="B64" s="149" t="s">
        <v>23</v>
      </c>
      <c r="C64" s="149" t="s">
        <v>37</v>
      </c>
      <c r="D64" s="16" t="s">
        <v>40</v>
      </c>
      <c r="E64" s="16" t="s">
        <v>37</v>
      </c>
      <c r="F64" s="149" t="s">
        <v>34</v>
      </c>
      <c r="H64" s="20">
        <f t="shared" si="5"/>
        <v>41</v>
      </c>
      <c r="I64" s="149" t="s">
        <v>37</v>
      </c>
      <c r="J64" s="149" t="s">
        <v>40</v>
      </c>
      <c r="K64" s="16" t="s">
        <v>34</v>
      </c>
      <c r="L64" s="16" t="s">
        <v>47</v>
      </c>
      <c r="M64" s="149" t="s">
        <v>30</v>
      </c>
      <c r="Q64" t="str">
        <f t="shared" si="2"/>
        <v>G1;A;K;A;A1</v>
      </c>
      <c r="S64" t="str">
        <f t="shared" si="3"/>
        <v>A;K;A1;T;A2</v>
      </c>
    </row>
    <row r="65" spans="1:19" ht="13" x14ac:dyDescent="0.3">
      <c r="A65" s="20">
        <f t="shared" si="4"/>
        <v>42</v>
      </c>
      <c r="B65" s="149" t="s">
        <v>42</v>
      </c>
      <c r="C65" s="149" t="s">
        <v>10</v>
      </c>
      <c r="D65" s="16" t="s">
        <v>23</v>
      </c>
      <c r="E65" s="16" t="s">
        <v>10</v>
      </c>
      <c r="F65" s="149" t="s">
        <v>10</v>
      </c>
      <c r="H65" s="20">
        <f t="shared" si="5"/>
        <v>42</v>
      </c>
      <c r="I65" s="149" t="s">
        <v>32</v>
      </c>
      <c r="J65" s="149" t="s">
        <v>10</v>
      </c>
      <c r="K65" s="16" t="s">
        <v>26</v>
      </c>
      <c r="L65" s="16" t="s">
        <v>26</v>
      </c>
      <c r="M65" s="149" t="s">
        <v>40</v>
      </c>
      <c r="Q65" t="str">
        <f t="shared" si="2"/>
        <v>Q;A3;G1;A3;A3</v>
      </c>
      <c r="S65" t="str">
        <f t="shared" si="3"/>
        <v>S;A3;G2;G2;K</v>
      </c>
    </row>
    <row r="66" spans="1:19" ht="13" x14ac:dyDescent="0.3">
      <c r="A66" s="20">
        <f t="shared" si="4"/>
        <v>43</v>
      </c>
      <c r="B66" s="149" t="s">
        <v>45</v>
      </c>
      <c r="C66" s="149" t="s">
        <v>40</v>
      </c>
      <c r="D66" s="16" t="s">
        <v>34</v>
      </c>
      <c r="E66" s="16" t="s">
        <v>34</v>
      </c>
      <c r="F66" s="149" t="s">
        <v>40</v>
      </c>
      <c r="H66" s="20">
        <f t="shared" si="5"/>
        <v>43</v>
      </c>
      <c r="I66" s="149" t="s">
        <v>45</v>
      </c>
      <c r="J66" s="149" t="s">
        <v>47</v>
      </c>
      <c r="K66" s="16" t="s">
        <v>40</v>
      </c>
      <c r="L66" s="16" t="s">
        <v>34</v>
      </c>
      <c r="M66" s="149" t="s">
        <v>34</v>
      </c>
      <c r="Q66" t="str">
        <f t="shared" si="2"/>
        <v>J;K;A1;A1;K</v>
      </c>
      <c r="S66" t="str">
        <f t="shared" si="3"/>
        <v>J;T;K;A1;A1</v>
      </c>
    </row>
    <row r="67" spans="1:19" ht="13" x14ac:dyDescent="0.3">
      <c r="A67" s="20">
        <f t="shared" si="4"/>
        <v>44</v>
      </c>
      <c r="B67" s="149" t="s">
        <v>37</v>
      </c>
      <c r="C67" s="149" t="s">
        <v>47</v>
      </c>
      <c r="D67" s="16" t="s">
        <v>47</v>
      </c>
      <c r="E67" s="16" t="s">
        <v>40</v>
      </c>
      <c r="F67" s="149" t="s">
        <v>42</v>
      </c>
      <c r="H67" s="20">
        <f t="shared" si="5"/>
        <v>44</v>
      </c>
      <c r="I67" s="149" t="s">
        <v>42</v>
      </c>
      <c r="J67" s="149" t="s">
        <v>34</v>
      </c>
      <c r="K67" s="16" t="s">
        <v>47</v>
      </c>
      <c r="L67" s="16" t="s">
        <v>42</v>
      </c>
      <c r="M67" s="149" t="s">
        <v>42</v>
      </c>
      <c r="Q67" t="str">
        <f t="shared" si="2"/>
        <v>A;T;T;K;Q</v>
      </c>
      <c r="S67" t="str">
        <f t="shared" si="3"/>
        <v>Q;A1;T;Q;Q</v>
      </c>
    </row>
    <row r="68" spans="1:19" ht="13" x14ac:dyDescent="0.3">
      <c r="A68" s="20">
        <f t="shared" si="4"/>
        <v>45</v>
      </c>
      <c r="B68" s="149" t="s">
        <v>30</v>
      </c>
      <c r="C68" s="149" t="s">
        <v>23</v>
      </c>
      <c r="D68" s="16" t="s">
        <v>10</v>
      </c>
      <c r="E68" s="16" t="s">
        <v>26</v>
      </c>
      <c r="F68" s="149" t="s">
        <v>30</v>
      </c>
      <c r="H68" s="20">
        <f t="shared" si="5"/>
        <v>45</v>
      </c>
      <c r="I68" s="149" t="s">
        <v>30</v>
      </c>
      <c r="J68" s="149" t="s">
        <v>26</v>
      </c>
      <c r="K68" s="16" t="s">
        <v>10</v>
      </c>
      <c r="L68" s="16" t="s">
        <v>10</v>
      </c>
      <c r="M68" s="149" t="s">
        <v>32</v>
      </c>
      <c r="Q68" t="str">
        <f t="shared" si="2"/>
        <v>A2;G1;A3;G2;A2</v>
      </c>
      <c r="S68" t="str">
        <f t="shared" si="3"/>
        <v>A2;G2;A3;A3;S</v>
      </c>
    </row>
    <row r="69" spans="1:19" ht="13" x14ac:dyDescent="0.3">
      <c r="A69" s="20">
        <f t="shared" si="4"/>
        <v>46</v>
      </c>
      <c r="B69" s="149" t="s">
        <v>42</v>
      </c>
      <c r="C69" s="149" t="s">
        <v>34</v>
      </c>
      <c r="D69" s="16" t="s">
        <v>40</v>
      </c>
      <c r="E69" s="16" t="s">
        <v>37</v>
      </c>
      <c r="F69" s="149" t="s">
        <v>34</v>
      </c>
      <c r="H69" s="20">
        <f t="shared" si="5"/>
        <v>46</v>
      </c>
      <c r="I69" s="149" t="s">
        <v>37</v>
      </c>
      <c r="J69" s="149" t="s">
        <v>40</v>
      </c>
      <c r="K69" s="16" t="s">
        <v>34</v>
      </c>
      <c r="L69" s="16" t="s">
        <v>47</v>
      </c>
      <c r="M69" s="149" t="s">
        <v>45</v>
      </c>
      <c r="Q69" t="str">
        <f t="shared" si="2"/>
        <v>Q;A1;K;A;A1</v>
      </c>
      <c r="S69" t="str">
        <f t="shared" si="3"/>
        <v>A;K;A1;T;J</v>
      </c>
    </row>
    <row r="70" spans="1:19" ht="13" x14ac:dyDescent="0.3">
      <c r="A70" s="20">
        <f t="shared" si="4"/>
        <v>47</v>
      </c>
      <c r="B70" s="149" t="s">
        <v>45</v>
      </c>
      <c r="C70" s="149" t="s">
        <v>40</v>
      </c>
      <c r="D70" s="16" t="s">
        <v>45</v>
      </c>
      <c r="E70" s="16" t="s">
        <v>34</v>
      </c>
      <c r="F70" s="149" t="s">
        <v>40</v>
      </c>
      <c r="H70" s="20">
        <f t="shared" si="5"/>
        <v>47</v>
      </c>
      <c r="I70" s="149" t="s">
        <v>45</v>
      </c>
      <c r="J70" s="149" t="s">
        <v>47</v>
      </c>
      <c r="K70" s="16" t="s">
        <v>40</v>
      </c>
      <c r="L70" s="16" t="s">
        <v>37</v>
      </c>
      <c r="M70" s="149" t="s">
        <v>37</v>
      </c>
      <c r="Q70" t="str">
        <f t="shared" si="2"/>
        <v>J;K;J;A1;K</v>
      </c>
      <c r="S70" t="str">
        <f t="shared" si="3"/>
        <v>J;T;K;A;A</v>
      </c>
    </row>
    <row r="71" spans="1:19" ht="13" x14ac:dyDescent="0.3">
      <c r="A71" s="20">
        <f t="shared" si="4"/>
        <v>48</v>
      </c>
      <c r="B71" s="149" t="s">
        <v>37</v>
      </c>
      <c r="C71" s="149" t="s">
        <v>47</v>
      </c>
      <c r="D71" s="16" t="s">
        <v>34</v>
      </c>
      <c r="E71" s="16" t="s">
        <v>40</v>
      </c>
      <c r="F71" s="149" t="s">
        <v>23</v>
      </c>
      <c r="H71" s="20">
        <f t="shared" si="5"/>
        <v>48</v>
      </c>
      <c r="I71" s="149" t="s">
        <v>42</v>
      </c>
      <c r="J71" s="149" t="s">
        <v>34</v>
      </c>
      <c r="K71" s="16" t="s">
        <v>45</v>
      </c>
      <c r="L71" s="16" t="s">
        <v>40</v>
      </c>
      <c r="M71" s="149" t="s">
        <v>40</v>
      </c>
      <c r="Q71" t="str">
        <f t="shared" si="2"/>
        <v>A;T;A1;K;G1</v>
      </c>
      <c r="S71" t="str">
        <f t="shared" si="3"/>
        <v>Q;A1;J;K;K</v>
      </c>
    </row>
    <row r="72" spans="1:19" ht="13" x14ac:dyDescent="0.3">
      <c r="A72" s="20">
        <f t="shared" si="4"/>
        <v>49</v>
      </c>
      <c r="B72" s="149" t="s">
        <v>10</v>
      </c>
      <c r="C72" s="149" t="s">
        <v>26</v>
      </c>
      <c r="D72" s="16" t="s">
        <v>30</v>
      </c>
      <c r="E72" s="16" t="s">
        <v>30</v>
      </c>
      <c r="F72" s="149" t="s">
        <v>42</v>
      </c>
      <c r="H72" s="20">
        <f t="shared" si="5"/>
        <v>49</v>
      </c>
      <c r="I72" s="149" t="s">
        <v>10</v>
      </c>
      <c r="J72" s="16" t="s">
        <v>10</v>
      </c>
      <c r="K72" s="16" t="s">
        <v>26</v>
      </c>
      <c r="L72" s="16" t="s">
        <v>26</v>
      </c>
      <c r="M72" s="149" t="s">
        <v>26</v>
      </c>
      <c r="Q72" t="str">
        <f t="shared" si="2"/>
        <v>A3;G2;A2;A2;Q</v>
      </c>
      <c r="S72" t="str">
        <f t="shared" si="3"/>
        <v>A3;A3;G2;G2;G2</v>
      </c>
    </row>
    <row r="73" spans="1:19" ht="13" x14ac:dyDescent="0.3">
      <c r="A73" s="20">
        <f t="shared" si="4"/>
        <v>50</v>
      </c>
      <c r="B73" s="149" t="s">
        <v>42</v>
      </c>
      <c r="C73" s="16" t="s">
        <v>34</v>
      </c>
      <c r="D73" s="16" t="s">
        <v>47</v>
      </c>
      <c r="E73" s="16" t="s">
        <v>37</v>
      </c>
      <c r="F73" s="149" t="s">
        <v>34</v>
      </c>
      <c r="H73" s="20">
        <f t="shared" si="5"/>
        <v>50</v>
      </c>
      <c r="I73" s="16" t="s">
        <v>37</v>
      </c>
      <c r="J73" s="16" t="s">
        <v>40</v>
      </c>
      <c r="K73" s="16" t="s">
        <v>34</v>
      </c>
      <c r="L73" s="16" t="s">
        <v>34</v>
      </c>
      <c r="M73" s="149" t="s">
        <v>42</v>
      </c>
      <c r="Q73" t="str">
        <f t="shared" si="2"/>
        <v>Q;A1;T;A;A1</v>
      </c>
      <c r="S73" t="str">
        <f t="shared" si="3"/>
        <v>A;K;A1;A1;Q</v>
      </c>
    </row>
    <row r="74" spans="1:19" ht="13" x14ac:dyDescent="0.3">
      <c r="A74" s="20">
        <f t="shared" si="4"/>
        <v>51</v>
      </c>
      <c r="B74" s="149" t="s">
        <v>45</v>
      </c>
      <c r="C74" s="16" t="s">
        <v>40</v>
      </c>
      <c r="D74" s="16" t="s">
        <v>40</v>
      </c>
      <c r="E74" s="16" t="s">
        <v>34</v>
      </c>
      <c r="F74" s="149" t="s">
        <v>40</v>
      </c>
      <c r="G74" s="149"/>
      <c r="H74" s="20">
        <f t="shared" si="5"/>
        <v>51</v>
      </c>
      <c r="I74" s="16" t="s">
        <v>45</v>
      </c>
      <c r="J74" s="16" t="s">
        <v>47</v>
      </c>
      <c r="K74" s="16" t="s">
        <v>40</v>
      </c>
      <c r="L74" s="16" t="s">
        <v>47</v>
      </c>
      <c r="M74" s="149" t="s">
        <v>45</v>
      </c>
      <c r="Q74" t="str">
        <f t="shared" si="2"/>
        <v>J;K;K;A1;K</v>
      </c>
      <c r="S74" t="str">
        <f t="shared" si="3"/>
        <v>J;T;K;T;J</v>
      </c>
    </row>
    <row r="75" spans="1:19" ht="13" x14ac:dyDescent="0.3">
      <c r="A75" s="20">
        <f t="shared" si="4"/>
        <v>52</v>
      </c>
      <c r="B75" s="149"/>
      <c r="F75" s="149"/>
      <c r="G75" s="149"/>
      <c r="H75" s="20">
        <f t="shared" si="5"/>
        <v>52</v>
      </c>
      <c r="I75" s="16"/>
      <c r="J75" s="16"/>
      <c r="K75" s="16"/>
      <c r="L75" s="16"/>
      <c r="M75" s="149"/>
      <c r="O75" s="149"/>
      <c r="Q75" t="str">
        <f t="shared" si="2"/>
        <v/>
      </c>
    </row>
    <row r="76" spans="1:19" ht="13" x14ac:dyDescent="0.3">
      <c r="A76" s="20">
        <f t="shared" si="4"/>
        <v>53</v>
      </c>
      <c r="B76" s="149"/>
      <c r="F76" s="149"/>
      <c r="G76" s="149"/>
      <c r="H76" s="20">
        <f t="shared" si="5"/>
        <v>53</v>
      </c>
      <c r="I76" s="16"/>
      <c r="J76" s="16"/>
      <c r="K76" s="16"/>
      <c r="L76" s="16"/>
      <c r="M76" s="149"/>
      <c r="O76" s="149"/>
      <c r="Q76" t="str">
        <f t="shared" si="2"/>
        <v/>
      </c>
    </row>
    <row r="77" spans="1:19" ht="13" x14ac:dyDescent="0.3">
      <c r="A77" s="20">
        <f t="shared" si="4"/>
        <v>54</v>
      </c>
      <c r="B77" s="149"/>
      <c r="F77" s="149"/>
      <c r="G77" s="16"/>
      <c r="H77" s="20">
        <f t="shared" si="5"/>
        <v>54</v>
      </c>
      <c r="I77" s="16"/>
      <c r="J77" s="16"/>
      <c r="K77" s="16"/>
      <c r="L77" s="16"/>
      <c r="M77" s="149"/>
      <c r="O77" s="149"/>
      <c r="Q77" t="str">
        <f t="shared" si="2"/>
        <v/>
      </c>
    </row>
    <row r="78" spans="1:19" ht="13" x14ac:dyDescent="0.3">
      <c r="A78" s="20">
        <f t="shared" si="4"/>
        <v>55</v>
      </c>
      <c r="B78" s="149"/>
      <c r="F78" s="149"/>
      <c r="G78" s="16"/>
      <c r="H78" s="20">
        <f t="shared" si="5"/>
        <v>55</v>
      </c>
      <c r="I78" s="16"/>
      <c r="J78" s="16"/>
      <c r="K78" s="16"/>
      <c r="L78" s="16"/>
      <c r="M78" s="149"/>
      <c r="O78" s="149"/>
      <c r="Q78" t="str">
        <f t="shared" si="2"/>
        <v/>
      </c>
    </row>
    <row r="79" spans="1:19" ht="13" x14ac:dyDescent="0.3">
      <c r="A79" s="20">
        <f t="shared" si="4"/>
        <v>56</v>
      </c>
      <c r="B79" s="149"/>
      <c r="F79" s="149"/>
      <c r="G79" s="16"/>
      <c r="H79" s="20">
        <f t="shared" si="5"/>
        <v>56</v>
      </c>
      <c r="I79" s="16"/>
      <c r="J79" s="16"/>
      <c r="K79" s="16"/>
      <c r="L79" s="16"/>
      <c r="M79" s="149"/>
      <c r="O79" s="149"/>
      <c r="Q79" t="str">
        <f t="shared" si="2"/>
        <v/>
      </c>
    </row>
    <row r="80" spans="1:19" ht="13" x14ac:dyDescent="0.3">
      <c r="A80" s="20">
        <f t="shared" si="4"/>
        <v>57</v>
      </c>
      <c r="B80" s="149"/>
      <c r="G80" s="16"/>
      <c r="H80" s="20">
        <f t="shared" si="5"/>
        <v>57</v>
      </c>
      <c r="I80" s="16"/>
      <c r="J80" s="16"/>
      <c r="K80" s="16"/>
      <c r="L80" s="16"/>
      <c r="M80" s="149"/>
      <c r="O80" s="149"/>
      <c r="Q80" t="str">
        <f t="shared" si="2"/>
        <v/>
      </c>
    </row>
    <row r="81" spans="1:17" ht="13" x14ac:dyDescent="0.3">
      <c r="A81" s="20">
        <f t="shared" si="4"/>
        <v>58</v>
      </c>
      <c r="B81" s="149"/>
      <c r="G81" s="16"/>
      <c r="H81" s="20">
        <f t="shared" si="5"/>
        <v>58</v>
      </c>
      <c r="I81" s="16"/>
      <c r="J81" s="16"/>
      <c r="K81" s="16"/>
      <c r="L81" s="16"/>
      <c r="M81" s="149"/>
      <c r="O81" s="149"/>
      <c r="Q81" t="str">
        <f t="shared" si="2"/>
        <v/>
      </c>
    </row>
    <row r="82" spans="1:17" ht="13" x14ac:dyDescent="0.3">
      <c r="A82" s="20">
        <f t="shared" si="4"/>
        <v>59</v>
      </c>
      <c r="B82" s="149"/>
      <c r="G82" s="16"/>
      <c r="H82" s="20">
        <f t="shared" si="5"/>
        <v>59</v>
      </c>
      <c r="I82" s="16"/>
      <c r="J82" s="16"/>
      <c r="K82" s="16"/>
      <c r="L82" s="16"/>
      <c r="M82" s="149"/>
      <c r="O82" s="149"/>
    </row>
    <row r="83" spans="1:17" x14ac:dyDescent="0.25">
      <c r="F83" s="149"/>
      <c r="I83" s="16"/>
      <c r="J83" s="16"/>
      <c r="K83" s="16"/>
      <c r="L83" s="16"/>
      <c r="M83" s="16"/>
    </row>
    <row r="84" spans="1:17" ht="13" x14ac:dyDescent="0.3">
      <c r="A84" s="20" t="s">
        <v>110</v>
      </c>
      <c r="B84" s="20" t="s">
        <v>14</v>
      </c>
      <c r="C84" s="20" t="s">
        <v>15</v>
      </c>
      <c r="D84" s="20" t="s">
        <v>16</v>
      </c>
      <c r="E84" s="20" t="s">
        <v>17</v>
      </c>
      <c r="F84" s="20" t="s">
        <v>18</v>
      </c>
      <c r="H84" s="20" t="s">
        <v>110</v>
      </c>
      <c r="I84" s="20" t="s">
        <v>14</v>
      </c>
      <c r="J84" s="20" t="s">
        <v>15</v>
      </c>
      <c r="K84" s="20" t="s">
        <v>16</v>
      </c>
      <c r="L84" s="20" t="s">
        <v>17</v>
      </c>
      <c r="M84" s="20" t="s">
        <v>18</v>
      </c>
    </row>
    <row r="85" spans="1:17" x14ac:dyDescent="0.25">
      <c r="A85" s="16" t="str">
        <f t="shared" ref="A85:A96" si="6">A8</f>
        <v>W</v>
      </c>
      <c r="B85" s="16">
        <f t="shared" ref="B85:B96" si="7">COUNTIF(B$24:B$82,A85)</f>
        <v>0</v>
      </c>
      <c r="C85" s="16">
        <f t="shared" ref="C85:C96" si="8">COUNTIF(C$24:C$82,A85)</f>
        <v>4</v>
      </c>
      <c r="D85" s="16">
        <f t="shared" ref="D85:D96" si="9">COUNTIF(D$24:D$82,A85)</f>
        <v>4</v>
      </c>
      <c r="E85" s="16">
        <f t="shared" ref="E85:E96" si="10">COUNTIF(E$24:E$82,A85)</f>
        <v>4</v>
      </c>
      <c r="F85" s="16">
        <f t="shared" ref="F85:F96" si="11">COUNTIF(F$24:F$82,A85)</f>
        <v>0</v>
      </c>
      <c r="G85" s="16"/>
      <c r="H85" s="16" t="str">
        <f t="shared" ref="H85:H96" si="12">H8</f>
        <v>W</v>
      </c>
      <c r="I85" s="16">
        <f t="shared" ref="I85:I96" si="13">COUNTIF(I$24:I$82,H85)</f>
        <v>0</v>
      </c>
      <c r="J85" s="16">
        <f t="shared" ref="J85:J96" si="14">COUNTIF(J$24:J$82,H85)</f>
        <v>4</v>
      </c>
      <c r="K85" s="16">
        <f t="shared" ref="K85:K96" si="15">COUNTIF(K$24:K$82,H85)</f>
        <v>4</v>
      </c>
      <c r="L85" s="16">
        <f t="shared" ref="L85:L96" si="16">COUNTIF(L$24:L$82,H85)</f>
        <v>4</v>
      </c>
      <c r="M85" s="16">
        <f t="shared" ref="M85:M96" si="17">COUNTIF(M$24:M$82,H85)</f>
        <v>0</v>
      </c>
    </row>
    <row r="86" spans="1:17" x14ac:dyDescent="0.25">
      <c r="A86" s="16" t="str">
        <f t="shared" si="6"/>
        <v>G1</v>
      </c>
      <c r="B86" s="16">
        <f t="shared" si="7"/>
        <v>2</v>
      </c>
      <c r="C86" s="16">
        <f t="shared" si="8"/>
        <v>2</v>
      </c>
      <c r="D86" s="16">
        <f t="shared" si="9"/>
        <v>4</v>
      </c>
      <c r="E86" s="16">
        <f t="shared" si="10"/>
        <v>3</v>
      </c>
      <c r="F86" s="16">
        <f t="shared" si="11"/>
        <v>3</v>
      </c>
      <c r="H86" s="16" t="str">
        <f t="shared" si="12"/>
        <v>G1</v>
      </c>
      <c r="I86" s="16">
        <f t="shared" si="13"/>
        <v>4</v>
      </c>
      <c r="J86" s="16">
        <f t="shared" si="14"/>
        <v>4</v>
      </c>
      <c r="K86" s="16">
        <f t="shared" si="15"/>
        <v>4</v>
      </c>
      <c r="L86" s="16">
        <f t="shared" si="16"/>
        <v>4</v>
      </c>
      <c r="M86" s="16">
        <f t="shared" si="17"/>
        <v>4</v>
      </c>
    </row>
    <row r="87" spans="1:17" x14ac:dyDescent="0.25">
      <c r="A87" s="16" t="str">
        <f t="shared" si="6"/>
        <v>G2</v>
      </c>
      <c r="B87" s="16">
        <f t="shared" si="7"/>
        <v>4</v>
      </c>
      <c r="C87" s="16">
        <f t="shared" si="8"/>
        <v>2</v>
      </c>
      <c r="D87" s="16">
        <f t="shared" si="9"/>
        <v>1</v>
      </c>
      <c r="E87" s="16">
        <f t="shared" si="10"/>
        <v>2</v>
      </c>
      <c r="F87" s="16">
        <f t="shared" si="11"/>
        <v>1</v>
      </c>
      <c r="H87" s="16" t="str">
        <f t="shared" si="12"/>
        <v>G2</v>
      </c>
      <c r="I87" s="16">
        <f t="shared" si="13"/>
        <v>1</v>
      </c>
      <c r="J87" s="16">
        <f t="shared" si="14"/>
        <v>6</v>
      </c>
      <c r="K87" s="16">
        <f t="shared" si="15"/>
        <v>5</v>
      </c>
      <c r="L87" s="16">
        <f t="shared" si="16"/>
        <v>3</v>
      </c>
      <c r="M87" s="16">
        <f t="shared" si="17"/>
        <v>3</v>
      </c>
    </row>
    <row r="88" spans="1:17" x14ac:dyDescent="0.25">
      <c r="A88" s="16" t="str">
        <f t="shared" si="6"/>
        <v>A3</v>
      </c>
      <c r="B88" s="16">
        <f t="shared" si="7"/>
        <v>1</v>
      </c>
      <c r="C88" s="16">
        <f t="shared" si="8"/>
        <v>5</v>
      </c>
      <c r="D88" s="16">
        <f t="shared" si="9"/>
        <v>4</v>
      </c>
      <c r="E88" s="16">
        <f t="shared" si="10"/>
        <v>4</v>
      </c>
      <c r="F88" s="16">
        <f t="shared" si="11"/>
        <v>6</v>
      </c>
      <c r="H88" s="16" t="str">
        <f t="shared" si="12"/>
        <v>A3</v>
      </c>
      <c r="I88" s="16">
        <f t="shared" si="13"/>
        <v>3</v>
      </c>
      <c r="J88" s="16">
        <f t="shared" si="14"/>
        <v>3</v>
      </c>
      <c r="K88" s="16">
        <f t="shared" si="15"/>
        <v>4</v>
      </c>
      <c r="L88" s="16">
        <f t="shared" si="16"/>
        <v>6</v>
      </c>
      <c r="M88" s="16">
        <f t="shared" si="17"/>
        <v>5</v>
      </c>
    </row>
    <row r="89" spans="1:17" x14ac:dyDescent="0.25">
      <c r="A89" s="16" t="str">
        <f t="shared" si="6"/>
        <v>A2</v>
      </c>
      <c r="B89" s="16">
        <f t="shared" si="7"/>
        <v>5</v>
      </c>
      <c r="C89" s="16">
        <f t="shared" si="8"/>
        <v>2</v>
      </c>
      <c r="D89" s="16">
        <f t="shared" si="9"/>
        <v>1</v>
      </c>
      <c r="E89" s="16">
        <f t="shared" si="10"/>
        <v>2</v>
      </c>
      <c r="F89" s="16">
        <f t="shared" si="11"/>
        <v>6</v>
      </c>
      <c r="H89" s="16" t="str">
        <f t="shared" si="12"/>
        <v>A2</v>
      </c>
      <c r="I89" s="16">
        <f t="shared" si="13"/>
        <v>7</v>
      </c>
      <c r="J89" s="16">
        <f t="shared" si="14"/>
        <v>1</v>
      </c>
      <c r="K89" s="16">
        <f t="shared" si="15"/>
        <v>1</v>
      </c>
      <c r="L89" s="16">
        <f t="shared" si="16"/>
        <v>1</v>
      </c>
      <c r="M89" s="16">
        <f t="shared" si="17"/>
        <v>3</v>
      </c>
    </row>
    <row r="90" spans="1:17" x14ac:dyDescent="0.25">
      <c r="A90" s="16" t="str">
        <f t="shared" si="6"/>
        <v>A1</v>
      </c>
      <c r="B90" s="16">
        <f t="shared" si="7"/>
        <v>1</v>
      </c>
      <c r="C90" s="16">
        <f t="shared" si="8"/>
        <v>10</v>
      </c>
      <c r="D90" s="16">
        <f t="shared" si="9"/>
        <v>10</v>
      </c>
      <c r="E90" s="16">
        <f t="shared" si="10"/>
        <v>9</v>
      </c>
      <c r="F90" s="16">
        <f t="shared" si="11"/>
        <v>10</v>
      </c>
      <c r="H90" s="16" t="str">
        <f t="shared" si="12"/>
        <v>A1</v>
      </c>
      <c r="I90" s="16">
        <f t="shared" si="13"/>
        <v>1</v>
      </c>
      <c r="J90" s="16">
        <f t="shared" si="14"/>
        <v>8</v>
      </c>
      <c r="K90" s="16">
        <f t="shared" si="15"/>
        <v>10</v>
      </c>
      <c r="L90" s="16">
        <f t="shared" si="16"/>
        <v>7</v>
      </c>
      <c r="M90" s="16">
        <f t="shared" si="17"/>
        <v>3</v>
      </c>
    </row>
    <row r="91" spans="1:17" x14ac:dyDescent="0.25">
      <c r="A91" s="16" t="str">
        <f t="shared" si="6"/>
        <v>A</v>
      </c>
      <c r="B91" s="16">
        <f t="shared" si="7"/>
        <v>11</v>
      </c>
      <c r="C91" s="16">
        <f t="shared" si="8"/>
        <v>2</v>
      </c>
      <c r="D91" s="16">
        <f t="shared" si="9"/>
        <v>1</v>
      </c>
      <c r="E91" s="16">
        <f t="shared" si="10"/>
        <v>10</v>
      </c>
      <c r="F91" s="16">
        <f t="shared" si="11"/>
        <v>1</v>
      </c>
      <c r="H91" s="16" t="str">
        <f t="shared" si="12"/>
        <v>A</v>
      </c>
      <c r="I91" s="16">
        <f t="shared" si="13"/>
        <v>10</v>
      </c>
      <c r="J91" s="16">
        <f t="shared" si="14"/>
        <v>1</v>
      </c>
      <c r="K91" s="16">
        <f t="shared" si="15"/>
        <v>1</v>
      </c>
      <c r="L91" s="16">
        <f t="shared" si="16"/>
        <v>6</v>
      </c>
      <c r="M91" s="16">
        <f t="shared" si="17"/>
        <v>5</v>
      </c>
    </row>
    <row r="92" spans="1:17" x14ac:dyDescent="0.25">
      <c r="A92" s="16" t="str">
        <f t="shared" si="6"/>
        <v>K</v>
      </c>
      <c r="B92" s="16">
        <f t="shared" si="7"/>
        <v>1</v>
      </c>
      <c r="C92" s="16">
        <f t="shared" si="8"/>
        <v>10</v>
      </c>
      <c r="D92" s="16">
        <f t="shared" si="9"/>
        <v>10</v>
      </c>
      <c r="E92" s="16">
        <f t="shared" si="10"/>
        <v>8</v>
      </c>
      <c r="F92" s="16">
        <f t="shared" si="11"/>
        <v>10</v>
      </c>
      <c r="H92" s="16" t="str">
        <f t="shared" si="12"/>
        <v>K</v>
      </c>
      <c r="I92" s="16">
        <f t="shared" si="13"/>
        <v>2</v>
      </c>
      <c r="J92" s="16">
        <f t="shared" si="14"/>
        <v>10</v>
      </c>
      <c r="K92" s="16">
        <f t="shared" si="15"/>
        <v>10</v>
      </c>
      <c r="L92" s="16">
        <f t="shared" si="16"/>
        <v>7</v>
      </c>
      <c r="M92" s="16">
        <f t="shared" si="17"/>
        <v>9</v>
      </c>
    </row>
    <row r="93" spans="1:17" x14ac:dyDescent="0.25">
      <c r="A93" s="16" t="str">
        <f t="shared" si="6"/>
        <v>Q</v>
      </c>
      <c r="B93" s="16">
        <f t="shared" si="7"/>
        <v>11</v>
      </c>
      <c r="C93" s="16">
        <f t="shared" si="8"/>
        <v>2</v>
      </c>
      <c r="D93" s="16">
        <f t="shared" si="9"/>
        <v>1</v>
      </c>
      <c r="E93" s="16">
        <f t="shared" si="10"/>
        <v>1</v>
      </c>
      <c r="F93" s="16">
        <f t="shared" si="11"/>
        <v>10</v>
      </c>
      <c r="H93" s="16" t="str">
        <f t="shared" si="12"/>
        <v>Q</v>
      </c>
      <c r="I93" s="16">
        <f t="shared" si="13"/>
        <v>9</v>
      </c>
      <c r="J93" s="16">
        <f t="shared" si="14"/>
        <v>2</v>
      </c>
      <c r="K93" s="16">
        <f t="shared" si="15"/>
        <v>1</v>
      </c>
      <c r="L93" s="16">
        <f t="shared" si="16"/>
        <v>1</v>
      </c>
      <c r="M93" s="16">
        <f t="shared" si="17"/>
        <v>10</v>
      </c>
    </row>
    <row r="94" spans="1:17" x14ac:dyDescent="0.25">
      <c r="A94" s="16" t="str">
        <f t="shared" si="6"/>
        <v>J</v>
      </c>
      <c r="B94" s="16">
        <f t="shared" si="7"/>
        <v>11</v>
      </c>
      <c r="C94" s="16">
        <f t="shared" si="8"/>
        <v>1</v>
      </c>
      <c r="D94" s="16">
        <f t="shared" si="9"/>
        <v>3</v>
      </c>
      <c r="E94" s="16">
        <f t="shared" si="10"/>
        <v>1</v>
      </c>
      <c r="F94" s="16">
        <f t="shared" si="11"/>
        <v>1</v>
      </c>
      <c r="H94" s="16" t="str">
        <f t="shared" si="12"/>
        <v>J</v>
      </c>
      <c r="I94" s="16">
        <f t="shared" si="13"/>
        <v>9</v>
      </c>
      <c r="J94" s="16">
        <f t="shared" si="14"/>
        <v>1</v>
      </c>
      <c r="K94" s="16">
        <f t="shared" si="15"/>
        <v>4</v>
      </c>
      <c r="L94" s="16">
        <f t="shared" si="16"/>
        <v>1</v>
      </c>
      <c r="M94" s="16">
        <f t="shared" si="17"/>
        <v>6</v>
      </c>
    </row>
    <row r="95" spans="1:17" x14ac:dyDescent="0.25">
      <c r="A95" s="16" t="str">
        <f t="shared" si="6"/>
        <v>T</v>
      </c>
      <c r="B95" s="16">
        <f t="shared" si="7"/>
        <v>3</v>
      </c>
      <c r="C95" s="16">
        <f t="shared" si="8"/>
        <v>10</v>
      </c>
      <c r="D95" s="16">
        <f t="shared" si="9"/>
        <v>10</v>
      </c>
      <c r="E95" s="16">
        <f t="shared" si="10"/>
        <v>6</v>
      </c>
      <c r="F95" s="16">
        <f t="shared" si="11"/>
        <v>2</v>
      </c>
      <c r="H95" s="16" t="str">
        <f t="shared" si="12"/>
        <v>T</v>
      </c>
      <c r="I95" s="16">
        <f t="shared" si="13"/>
        <v>4</v>
      </c>
      <c r="J95" s="16">
        <f t="shared" si="14"/>
        <v>10</v>
      </c>
      <c r="K95" s="16">
        <f t="shared" si="15"/>
        <v>6</v>
      </c>
      <c r="L95" s="16">
        <f t="shared" si="16"/>
        <v>10</v>
      </c>
      <c r="M95" s="16">
        <f t="shared" si="17"/>
        <v>2</v>
      </c>
    </row>
    <row r="96" spans="1:17" x14ac:dyDescent="0.25">
      <c r="A96" s="16" t="str">
        <f t="shared" si="6"/>
        <v>S</v>
      </c>
      <c r="B96" s="16">
        <f t="shared" si="7"/>
        <v>1</v>
      </c>
      <c r="C96" s="16">
        <f t="shared" si="8"/>
        <v>1</v>
      </c>
      <c r="D96" s="16">
        <f t="shared" si="9"/>
        <v>2</v>
      </c>
      <c r="E96" s="16">
        <f t="shared" si="10"/>
        <v>1</v>
      </c>
      <c r="F96" s="16">
        <f t="shared" si="11"/>
        <v>1</v>
      </c>
      <c r="H96" s="16" t="str">
        <f t="shared" si="12"/>
        <v>S</v>
      </c>
      <c r="I96" s="16">
        <f t="shared" si="13"/>
        <v>1</v>
      </c>
      <c r="J96" s="16">
        <f t="shared" si="14"/>
        <v>1</v>
      </c>
      <c r="K96" s="16">
        <f t="shared" si="15"/>
        <v>1</v>
      </c>
      <c r="L96" s="16">
        <f t="shared" si="16"/>
        <v>1</v>
      </c>
      <c r="M96" s="16">
        <f t="shared" si="17"/>
        <v>1</v>
      </c>
    </row>
    <row r="97" spans="1:13" x14ac:dyDescent="0.25">
      <c r="A97" s="16"/>
      <c r="H97" s="16"/>
      <c r="I97" s="16"/>
      <c r="J97" s="16"/>
      <c r="K97" s="16"/>
      <c r="L97" s="16"/>
      <c r="M97" s="16"/>
    </row>
    <row r="98" spans="1:13" ht="13" x14ac:dyDescent="0.3">
      <c r="A98" s="20" t="s">
        <v>79</v>
      </c>
      <c r="B98" s="20">
        <f>SUM(B85:B96)</f>
        <v>51</v>
      </c>
      <c r="C98" s="20">
        <f>SUM(C85:C96)</f>
        <v>51</v>
      </c>
      <c r="D98" s="20">
        <f>SUM(D85:D96)</f>
        <v>51</v>
      </c>
      <c r="E98" s="20">
        <f>SUM(E85:E96)</f>
        <v>51</v>
      </c>
      <c r="F98" s="20">
        <f>SUM(F85:F96)</f>
        <v>51</v>
      </c>
      <c r="H98" s="20" t="s">
        <v>79</v>
      </c>
      <c r="I98" s="20">
        <f>SUM(I85:I96)</f>
        <v>51</v>
      </c>
      <c r="J98" s="20">
        <f>SUM(J85:J96)</f>
        <v>51</v>
      </c>
      <c r="K98" s="20">
        <f>SUM(K85:K96)</f>
        <v>51</v>
      </c>
      <c r="L98" s="20">
        <f>SUM(L85:L96)</f>
        <v>51</v>
      </c>
      <c r="M98" s="20">
        <f>SUM(M85:M96)</f>
        <v>51</v>
      </c>
    </row>
    <row r="99" spans="1:13" x14ac:dyDescent="0.25">
      <c r="A99" s="16" t="str">
        <f>A85</f>
        <v>W</v>
      </c>
      <c r="B99" s="16" t="str">
        <f t="shared" ref="B99:F110" si="18">IF(B85=B8,"OK","OPPS")</f>
        <v>OK</v>
      </c>
      <c r="C99" s="16" t="str">
        <f t="shared" si="18"/>
        <v>OK</v>
      </c>
      <c r="D99" s="16" t="str">
        <f t="shared" si="18"/>
        <v>OK</v>
      </c>
      <c r="E99" s="16" t="str">
        <f t="shared" si="18"/>
        <v>OK</v>
      </c>
      <c r="F99" s="16" t="str">
        <f t="shared" si="18"/>
        <v>OK</v>
      </c>
      <c r="H99" s="16" t="str">
        <f>H85</f>
        <v>W</v>
      </c>
      <c r="I99" s="16" t="str">
        <f t="shared" ref="I99:M110" si="19">IF(I85=I8,"OK","OPPS")</f>
        <v>OK</v>
      </c>
      <c r="J99" s="16" t="str">
        <f t="shared" si="19"/>
        <v>OK</v>
      </c>
      <c r="K99" s="16" t="str">
        <f t="shared" si="19"/>
        <v>OK</v>
      </c>
      <c r="L99" s="16" t="str">
        <f t="shared" si="19"/>
        <v>OK</v>
      </c>
      <c r="M99" s="16" t="str">
        <f t="shared" si="19"/>
        <v>OK</v>
      </c>
    </row>
    <row r="100" spans="1:13" x14ac:dyDescent="0.25">
      <c r="A100" s="16" t="str">
        <f t="shared" ref="A100:A109" si="20">A86</f>
        <v>G1</v>
      </c>
      <c r="B100" s="16" t="str">
        <f t="shared" si="18"/>
        <v>OK</v>
      </c>
      <c r="C100" s="16" t="str">
        <f t="shared" si="18"/>
        <v>OK</v>
      </c>
      <c r="D100" s="16" t="str">
        <f t="shared" si="18"/>
        <v>OK</v>
      </c>
      <c r="E100" s="16" t="str">
        <f t="shared" si="18"/>
        <v>OK</v>
      </c>
      <c r="F100" s="16" t="str">
        <f t="shared" si="18"/>
        <v>OK</v>
      </c>
      <c r="H100" s="16" t="str">
        <f t="shared" ref="H100:H109" si="21">H86</f>
        <v>G1</v>
      </c>
      <c r="I100" s="16" t="str">
        <f t="shared" si="19"/>
        <v>OK</v>
      </c>
      <c r="J100" s="16" t="str">
        <f t="shared" si="19"/>
        <v>OK</v>
      </c>
      <c r="K100" s="16" t="str">
        <f t="shared" si="19"/>
        <v>OK</v>
      </c>
      <c r="L100" s="16" t="str">
        <f t="shared" si="19"/>
        <v>OK</v>
      </c>
      <c r="M100" s="16" t="str">
        <f t="shared" si="19"/>
        <v>OK</v>
      </c>
    </row>
    <row r="101" spans="1:13" x14ac:dyDescent="0.25">
      <c r="A101" s="16" t="str">
        <f t="shared" si="20"/>
        <v>G2</v>
      </c>
      <c r="B101" s="16" t="str">
        <f t="shared" si="18"/>
        <v>OK</v>
      </c>
      <c r="C101" s="16" t="str">
        <f t="shared" si="18"/>
        <v>OK</v>
      </c>
      <c r="D101" s="16" t="str">
        <f t="shared" si="18"/>
        <v>OK</v>
      </c>
      <c r="E101" s="16" t="str">
        <f t="shared" si="18"/>
        <v>OK</v>
      </c>
      <c r="F101" s="16" t="str">
        <f t="shared" si="18"/>
        <v>OK</v>
      </c>
      <c r="H101" s="16" t="str">
        <f t="shared" si="21"/>
        <v>G2</v>
      </c>
      <c r="I101" s="16" t="str">
        <f t="shared" si="19"/>
        <v>OK</v>
      </c>
      <c r="J101" s="16" t="str">
        <f t="shared" si="19"/>
        <v>OK</v>
      </c>
      <c r="K101" s="16" t="str">
        <f t="shared" si="19"/>
        <v>OK</v>
      </c>
      <c r="L101" s="16" t="str">
        <f t="shared" si="19"/>
        <v>OK</v>
      </c>
      <c r="M101" s="16" t="str">
        <f t="shared" si="19"/>
        <v>OK</v>
      </c>
    </row>
    <row r="102" spans="1:13" x14ac:dyDescent="0.25">
      <c r="A102" s="16" t="str">
        <f t="shared" si="20"/>
        <v>A3</v>
      </c>
      <c r="B102" s="16" t="str">
        <f t="shared" si="18"/>
        <v>OK</v>
      </c>
      <c r="C102" s="16" t="str">
        <f t="shared" si="18"/>
        <v>OK</v>
      </c>
      <c r="D102" s="16" t="str">
        <f t="shared" si="18"/>
        <v>OK</v>
      </c>
      <c r="E102" s="16" t="str">
        <f t="shared" si="18"/>
        <v>OK</v>
      </c>
      <c r="F102" s="16" t="str">
        <f t="shared" si="18"/>
        <v>OK</v>
      </c>
      <c r="H102" s="16" t="str">
        <f t="shared" si="21"/>
        <v>A3</v>
      </c>
      <c r="I102" s="16" t="str">
        <f t="shared" si="19"/>
        <v>OK</v>
      </c>
      <c r="J102" s="16" t="str">
        <f t="shared" si="19"/>
        <v>OK</v>
      </c>
      <c r="K102" s="16" t="str">
        <f t="shared" si="19"/>
        <v>OK</v>
      </c>
      <c r="L102" s="16" t="str">
        <f t="shared" si="19"/>
        <v>OK</v>
      </c>
      <c r="M102" s="16" t="str">
        <f t="shared" si="19"/>
        <v>OK</v>
      </c>
    </row>
    <row r="103" spans="1:13" x14ac:dyDescent="0.25">
      <c r="A103" s="16" t="str">
        <f t="shared" si="20"/>
        <v>A2</v>
      </c>
      <c r="B103" s="16" t="str">
        <f t="shared" si="18"/>
        <v>OK</v>
      </c>
      <c r="C103" s="16" t="str">
        <f t="shared" si="18"/>
        <v>OK</v>
      </c>
      <c r="D103" s="16" t="str">
        <f t="shared" si="18"/>
        <v>OK</v>
      </c>
      <c r="E103" s="16" t="str">
        <f t="shared" si="18"/>
        <v>OK</v>
      </c>
      <c r="F103" s="16" t="str">
        <f t="shared" si="18"/>
        <v>OK</v>
      </c>
      <c r="H103" s="16" t="str">
        <f t="shared" si="21"/>
        <v>A2</v>
      </c>
      <c r="I103" s="16" t="str">
        <f t="shared" si="19"/>
        <v>OK</v>
      </c>
      <c r="J103" s="16" t="str">
        <f t="shared" si="19"/>
        <v>OK</v>
      </c>
      <c r="K103" s="16" t="str">
        <f t="shared" si="19"/>
        <v>OK</v>
      </c>
      <c r="L103" s="16" t="str">
        <f t="shared" si="19"/>
        <v>OK</v>
      </c>
      <c r="M103" s="16" t="str">
        <f t="shared" si="19"/>
        <v>OK</v>
      </c>
    </row>
    <row r="104" spans="1:13" x14ac:dyDescent="0.25">
      <c r="A104" s="16" t="str">
        <f t="shared" si="20"/>
        <v>A1</v>
      </c>
      <c r="B104" s="16" t="str">
        <f t="shared" si="18"/>
        <v>OK</v>
      </c>
      <c r="C104" s="16" t="str">
        <f t="shared" si="18"/>
        <v>OK</v>
      </c>
      <c r="D104" s="16" t="str">
        <f t="shared" si="18"/>
        <v>OK</v>
      </c>
      <c r="E104" s="16" t="str">
        <f t="shared" si="18"/>
        <v>OK</v>
      </c>
      <c r="F104" s="16" t="str">
        <f t="shared" si="18"/>
        <v>OK</v>
      </c>
      <c r="H104" s="16" t="str">
        <f t="shared" si="21"/>
        <v>A1</v>
      </c>
      <c r="I104" s="16" t="str">
        <f t="shared" si="19"/>
        <v>OK</v>
      </c>
      <c r="J104" s="16" t="str">
        <f t="shared" si="19"/>
        <v>OK</v>
      </c>
      <c r="K104" s="16" t="str">
        <f t="shared" si="19"/>
        <v>OK</v>
      </c>
      <c r="L104" s="16" t="str">
        <f t="shared" si="19"/>
        <v>OK</v>
      </c>
      <c r="M104" s="16" t="str">
        <f t="shared" si="19"/>
        <v>OK</v>
      </c>
    </row>
    <row r="105" spans="1:13" x14ac:dyDescent="0.25">
      <c r="A105" s="16" t="str">
        <f t="shared" si="20"/>
        <v>A</v>
      </c>
      <c r="B105" s="16" t="str">
        <f t="shared" si="18"/>
        <v>OK</v>
      </c>
      <c r="C105" s="16" t="str">
        <f t="shared" si="18"/>
        <v>OK</v>
      </c>
      <c r="D105" s="16" t="str">
        <f t="shared" si="18"/>
        <v>OK</v>
      </c>
      <c r="E105" s="16" t="str">
        <f t="shared" si="18"/>
        <v>OK</v>
      </c>
      <c r="F105" s="16" t="str">
        <f t="shared" si="18"/>
        <v>OK</v>
      </c>
      <c r="H105" s="16" t="str">
        <f t="shared" si="21"/>
        <v>A</v>
      </c>
      <c r="I105" s="16" t="str">
        <f t="shared" si="19"/>
        <v>OK</v>
      </c>
      <c r="J105" s="16" t="str">
        <f t="shared" si="19"/>
        <v>OK</v>
      </c>
      <c r="K105" s="16" t="str">
        <f t="shared" si="19"/>
        <v>OK</v>
      </c>
      <c r="L105" s="16" t="str">
        <f t="shared" si="19"/>
        <v>OK</v>
      </c>
      <c r="M105" s="16" t="str">
        <f t="shared" si="19"/>
        <v>OK</v>
      </c>
    </row>
    <row r="106" spans="1:13" x14ac:dyDescent="0.25">
      <c r="A106" s="16" t="str">
        <f t="shared" si="20"/>
        <v>K</v>
      </c>
      <c r="B106" s="16" t="str">
        <f t="shared" si="18"/>
        <v>OK</v>
      </c>
      <c r="C106" s="16" t="str">
        <f t="shared" si="18"/>
        <v>OK</v>
      </c>
      <c r="D106" s="16" t="str">
        <f t="shared" si="18"/>
        <v>OK</v>
      </c>
      <c r="E106" s="16" t="str">
        <f t="shared" si="18"/>
        <v>OK</v>
      </c>
      <c r="F106" s="16" t="str">
        <f t="shared" si="18"/>
        <v>OK</v>
      </c>
      <c r="H106" s="16" t="str">
        <f t="shared" si="21"/>
        <v>K</v>
      </c>
      <c r="I106" s="16" t="str">
        <f t="shared" si="19"/>
        <v>OK</v>
      </c>
      <c r="J106" s="16" t="str">
        <f t="shared" si="19"/>
        <v>OK</v>
      </c>
      <c r="K106" s="16" t="str">
        <f t="shared" si="19"/>
        <v>OK</v>
      </c>
      <c r="L106" s="16" t="str">
        <f t="shared" si="19"/>
        <v>OK</v>
      </c>
      <c r="M106" s="16" t="str">
        <f t="shared" si="19"/>
        <v>OK</v>
      </c>
    </row>
    <row r="107" spans="1:13" x14ac:dyDescent="0.25">
      <c r="A107" s="16" t="str">
        <f t="shared" si="20"/>
        <v>Q</v>
      </c>
      <c r="B107" s="16" t="str">
        <f t="shared" si="18"/>
        <v>OK</v>
      </c>
      <c r="C107" s="16" t="str">
        <f t="shared" si="18"/>
        <v>OK</v>
      </c>
      <c r="D107" s="16" t="str">
        <f t="shared" si="18"/>
        <v>OK</v>
      </c>
      <c r="E107" s="16" t="str">
        <f t="shared" si="18"/>
        <v>OK</v>
      </c>
      <c r="F107" s="16" t="str">
        <f t="shared" si="18"/>
        <v>OK</v>
      </c>
      <c r="H107" s="16" t="str">
        <f t="shared" si="21"/>
        <v>Q</v>
      </c>
      <c r="I107" s="16" t="str">
        <f t="shared" si="19"/>
        <v>OK</v>
      </c>
      <c r="J107" s="16" t="str">
        <f t="shared" si="19"/>
        <v>OK</v>
      </c>
      <c r="K107" s="16" t="str">
        <f t="shared" si="19"/>
        <v>OK</v>
      </c>
      <c r="L107" s="16" t="str">
        <f t="shared" si="19"/>
        <v>OK</v>
      </c>
      <c r="M107" s="16" t="str">
        <f t="shared" si="19"/>
        <v>OK</v>
      </c>
    </row>
    <row r="108" spans="1:13" x14ac:dyDescent="0.25">
      <c r="A108" s="16" t="str">
        <f t="shared" si="20"/>
        <v>J</v>
      </c>
      <c r="B108" s="16" t="str">
        <f t="shared" si="18"/>
        <v>OK</v>
      </c>
      <c r="C108" s="16" t="str">
        <f t="shared" si="18"/>
        <v>OK</v>
      </c>
      <c r="D108" s="16" t="str">
        <f t="shared" si="18"/>
        <v>OK</v>
      </c>
      <c r="E108" s="16" t="str">
        <f t="shared" si="18"/>
        <v>OK</v>
      </c>
      <c r="F108" s="16" t="str">
        <f t="shared" si="18"/>
        <v>OK</v>
      </c>
      <c r="H108" s="16" t="str">
        <f t="shared" si="21"/>
        <v>J</v>
      </c>
      <c r="I108" s="16" t="str">
        <f t="shared" si="19"/>
        <v>OK</v>
      </c>
      <c r="J108" s="16" t="str">
        <f t="shared" si="19"/>
        <v>OK</v>
      </c>
      <c r="K108" s="16" t="str">
        <f t="shared" si="19"/>
        <v>OK</v>
      </c>
      <c r="L108" s="16" t="str">
        <f t="shared" si="19"/>
        <v>OK</v>
      </c>
      <c r="M108" s="16" t="str">
        <f t="shared" si="19"/>
        <v>OK</v>
      </c>
    </row>
    <row r="109" spans="1:13" x14ac:dyDescent="0.25">
      <c r="A109" s="16" t="str">
        <f t="shared" si="20"/>
        <v>T</v>
      </c>
      <c r="B109" s="16" t="str">
        <f t="shared" si="18"/>
        <v>OK</v>
      </c>
      <c r="C109" s="16" t="str">
        <f t="shared" si="18"/>
        <v>OK</v>
      </c>
      <c r="D109" s="16" t="str">
        <f t="shared" si="18"/>
        <v>OK</v>
      </c>
      <c r="E109" s="16" t="str">
        <f t="shared" si="18"/>
        <v>OK</v>
      </c>
      <c r="F109" s="16" t="str">
        <f t="shared" si="18"/>
        <v>OK</v>
      </c>
      <c r="H109" s="16" t="str">
        <f t="shared" si="21"/>
        <v>T</v>
      </c>
      <c r="I109" s="16" t="str">
        <f t="shared" si="19"/>
        <v>OK</v>
      </c>
      <c r="J109" s="16" t="str">
        <f t="shared" si="19"/>
        <v>OK</v>
      </c>
      <c r="K109" s="16" t="str">
        <f t="shared" si="19"/>
        <v>OK</v>
      </c>
      <c r="L109" s="16" t="str">
        <f t="shared" si="19"/>
        <v>OK</v>
      </c>
      <c r="M109" s="16" t="str">
        <f t="shared" si="19"/>
        <v>OK</v>
      </c>
    </row>
    <row r="110" spans="1:13" x14ac:dyDescent="0.25">
      <c r="A110" s="16" t="str">
        <f>A96</f>
        <v>S</v>
      </c>
      <c r="B110" s="16" t="str">
        <f t="shared" si="18"/>
        <v>OK</v>
      </c>
      <c r="C110" s="16" t="str">
        <f t="shared" si="18"/>
        <v>OK</v>
      </c>
      <c r="D110" s="16" t="str">
        <f t="shared" si="18"/>
        <v>OK</v>
      </c>
      <c r="E110" s="16" t="str">
        <f t="shared" si="18"/>
        <v>OK</v>
      </c>
      <c r="F110" s="16" t="str">
        <f t="shared" si="18"/>
        <v>OK</v>
      </c>
      <c r="H110" s="16" t="str">
        <f>H96</f>
        <v>S</v>
      </c>
      <c r="I110" s="16" t="str">
        <f t="shared" si="19"/>
        <v>OK</v>
      </c>
      <c r="J110" s="16" t="str">
        <f t="shared" si="19"/>
        <v>OK</v>
      </c>
      <c r="K110" s="16" t="str">
        <f t="shared" si="19"/>
        <v>OK</v>
      </c>
      <c r="L110" s="16" t="str">
        <f t="shared" si="19"/>
        <v>OK</v>
      </c>
      <c r="M110" s="16" t="str">
        <f t="shared" si="19"/>
        <v>OK</v>
      </c>
    </row>
    <row r="111" spans="1:13" x14ac:dyDescent="0.25">
      <c r="I111" s="16"/>
      <c r="J111" s="16"/>
      <c r="K111" s="16"/>
      <c r="L111" s="16"/>
      <c r="M111" s="16"/>
    </row>
  </sheetData>
  <dataConsolidate/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29"/>
  <sheetViews>
    <sheetView zoomScale="70" zoomScaleNormal="70" workbookViewId="0">
      <selection activeCell="E71" sqref="E71"/>
    </sheetView>
  </sheetViews>
  <sheetFormatPr defaultRowHeight="12.75" customHeight="1" x14ac:dyDescent="0.25"/>
  <cols>
    <col min="1" max="2" width="11.7265625" customWidth="1"/>
    <col min="3" max="3" width="12.54296875" bestFit="1" customWidth="1"/>
    <col min="4" max="4" width="11.7265625" customWidth="1"/>
    <col min="5" max="5" width="14.453125" customWidth="1"/>
    <col min="6" max="14" width="11.7265625" customWidth="1"/>
  </cols>
  <sheetData>
    <row r="1" spans="1:6" ht="12.75" customHeight="1" thickBot="1" x14ac:dyDescent="0.3">
      <c r="A1" t="s">
        <v>111</v>
      </c>
    </row>
    <row r="2" spans="1:6" ht="12.75" customHeight="1" x14ac:dyDescent="0.3">
      <c r="B2" s="50" t="s">
        <v>78</v>
      </c>
      <c r="C2" s="33"/>
      <c r="D2" s="33"/>
      <c r="E2" s="33"/>
      <c r="F2" s="34" t="s">
        <v>79</v>
      </c>
    </row>
    <row r="3" spans="1:6" ht="12.75" customHeight="1" x14ac:dyDescent="0.3">
      <c r="B3" s="43" t="s">
        <v>80</v>
      </c>
      <c r="C3" s="20" t="s">
        <v>81</v>
      </c>
      <c r="D3" s="20" t="s">
        <v>82</v>
      </c>
      <c r="E3" s="20" t="s">
        <v>112</v>
      </c>
      <c r="F3" s="44" t="s">
        <v>84</v>
      </c>
    </row>
    <row r="4" spans="1:6" ht="12.75" customHeight="1" x14ac:dyDescent="0.25">
      <c r="B4" s="35">
        <f>'Base Game Calculations'!A53</f>
        <v>2000</v>
      </c>
      <c r="C4" s="16">
        <f>'Base Game Calculations'!B53</f>
        <v>2576</v>
      </c>
      <c r="D4" s="61">
        <f>B4*C4/'Base Game Calculations'!C$80</f>
        <v>1.4932240423179926E-2</v>
      </c>
      <c r="E4" s="16">
        <f>B4*B4*C4</f>
        <v>10304000000</v>
      </c>
      <c r="F4" s="36">
        <f>B4*C4</f>
        <v>5152000</v>
      </c>
    </row>
    <row r="5" spans="1:6" ht="12.75" customHeight="1" x14ac:dyDescent="0.25">
      <c r="B5" s="35">
        <f>'Base Game Calculations'!A54</f>
        <v>1000</v>
      </c>
      <c r="C5" s="16">
        <f>'Base Game Calculations'!B54</f>
        <v>160</v>
      </c>
      <c r="D5" s="61">
        <f>B5*C5/'Base Game Calculations'!C$80</f>
        <v>4.6373417463291695E-4</v>
      </c>
      <c r="E5" s="16">
        <f t="shared" ref="E5:E18" si="0">B5*B5*C5</f>
        <v>160000000</v>
      </c>
      <c r="F5" s="36">
        <f t="shared" ref="F5:F18" si="1">B5*C5</f>
        <v>160000</v>
      </c>
    </row>
    <row r="6" spans="1:6" ht="12.75" customHeight="1" x14ac:dyDescent="0.25">
      <c r="B6" s="35">
        <f>'Base Game Calculations'!A55</f>
        <v>800</v>
      </c>
      <c r="C6" s="16">
        <f>'Base Game Calculations'!B55</f>
        <v>8256</v>
      </c>
      <c r="D6" s="61">
        <f>B6*C6/'Base Game Calculations'!C$80</f>
        <v>1.914294672884681E-2</v>
      </c>
      <c r="E6" s="16">
        <f t="shared" si="0"/>
        <v>5283840000</v>
      </c>
      <c r="F6" s="36">
        <f t="shared" si="1"/>
        <v>6604800</v>
      </c>
    </row>
    <row r="7" spans="1:6" ht="12.75" customHeight="1" x14ac:dyDescent="0.25">
      <c r="B7" s="35">
        <f>'Base Game Calculations'!A56</f>
        <v>600</v>
      </c>
      <c r="C7" s="16">
        <f>'Base Game Calculations'!B56</f>
        <v>20880</v>
      </c>
      <c r="D7" s="61">
        <f>B7*C7/'Base Game Calculations'!C$80</f>
        <v>3.6310385873757393E-2</v>
      </c>
      <c r="E7" s="16">
        <f t="shared" si="0"/>
        <v>7516800000</v>
      </c>
      <c r="F7" s="36">
        <f t="shared" si="1"/>
        <v>12528000</v>
      </c>
    </row>
    <row r="8" spans="1:6" ht="12.75" customHeight="1" x14ac:dyDescent="0.25">
      <c r="B8" s="35">
        <f>'Base Game Calculations'!A57</f>
        <v>500</v>
      </c>
      <c r="C8" s="16">
        <f>'Base Game Calculations'!B57</f>
        <v>31800</v>
      </c>
      <c r="D8" s="61">
        <f>B8*C8/'Base Game Calculations'!C$80</f>
        <v>4.6083583604146119E-2</v>
      </c>
      <c r="E8" s="16">
        <f t="shared" si="0"/>
        <v>7950000000</v>
      </c>
      <c r="F8" s="36">
        <f t="shared" si="1"/>
        <v>15900000</v>
      </c>
    </row>
    <row r="9" spans="1:6" ht="12.75" customHeight="1" x14ac:dyDescent="0.25">
      <c r="B9" s="35">
        <f>'Base Game Calculations'!A58</f>
        <v>400</v>
      </c>
      <c r="C9" s="16">
        <f>'Base Game Calculations'!B58</f>
        <v>12700</v>
      </c>
      <c r="D9" s="61">
        <f>B9*C9/'Base Game Calculations'!C$80</f>
        <v>1.4723560044595112E-2</v>
      </c>
      <c r="E9" s="16">
        <f t="shared" si="0"/>
        <v>2032000000</v>
      </c>
      <c r="F9" s="36">
        <f t="shared" si="1"/>
        <v>5080000</v>
      </c>
    </row>
    <row r="10" spans="1:6" ht="12.75" customHeight="1" x14ac:dyDescent="0.25">
      <c r="B10" s="35">
        <f>'Base Game Calculations'!A59</f>
        <v>300</v>
      </c>
      <c r="C10" s="16">
        <f>'Base Game Calculations'!B59</f>
        <v>9220</v>
      </c>
      <c r="D10" s="61">
        <f>B10*C10/'Base Game Calculations'!C$80</f>
        <v>8.0168045439665513E-3</v>
      </c>
      <c r="E10" s="16">
        <f t="shared" si="0"/>
        <v>829800000</v>
      </c>
      <c r="F10" s="36">
        <f t="shared" si="1"/>
        <v>2766000</v>
      </c>
    </row>
    <row r="11" spans="1:6" ht="12.75" customHeight="1" x14ac:dyDescent="0.25">
      <c r="B11" s="35">
        <f>'Base Game Calculations'!A60</f>
        <v>250</v>
      </c>
      <c r="C11" s="16">
        <f>'Base Game Calculations'!B60</f>
        <v>8220</v>
      </c>
      <c r="D11" s="61">
        <f>B11*C11/'Base Game Calculations'!C$80</f>
        <v>5.9560858054415267E-3</v>
      </c>
      <c r="E11" s="16">
        <f t="shared" si="0"/>
        <v>513750000</v>
      </c>
      <c r="F11" s="36">
        <f t="shared" si="1"/>
        <v>2055000</v>
      </c>
    </row>
    <row r="12" spans="1:6" ht="12.75" customHeight="1" x14ac:dyDescent="0.25">
      <c r="B12" s="35">
        <f>'Base Game Calculations'!A61</f>
        <v>200</v>
      </c>
      <c r="C12" s="16">
        <f>'Base Game Calculations'!B61</f>
        <v>3633</v>
      </c>
      <c r="D12" s="61">
        <f>B12*C12/'Base Game Calculations'!C$80</f>
        <v>2.1059328205517342E-3</v>
      </c>
      <c r="E12" s="16">
        <f t="shared" si="0"/>
        <v>145320000</v>
      </c>
      <c r="F12" s="36">
        <f t="shared" si="1"/>
        <v>726600</v>
      </c>
    </row>
    <row r="13" spans="1:6" ht="12.75" customHeight="1" x14ac:dyDescent="0.25">
      <c r="B13" s="35">
        <f>'Base Game Calculations'!A62</f>
        <v>100</v>
      </c>
      <c r="C13" s="16">
        <f>'Base Game Calculations'!B62</f>
        <v>65152</v>
      </c>
      <c r="D13" s="61">
        <f>B13*C13/'Base Game Calculations'!C$80</f>
        <v>1.8883255591052379E-2</v>
      </c>
      <c r="E13" s="16">
        <f t="shared" si="0"/>
        <v>651520000</v>
      </c>
      <c r="F13" s="36">
        <f t="shared" si="1"/>
        <v>6515200</v>
      </c>
    </row>
    <row r="14" spans="1:6" ht="12.75" customHeight="1" x14ac:dyDescent="0.25">
      <c r="B14" s="35">
        <f>'Base Game Calculations'!A63</f>
        <v>80</v>
      </c>
      <c r="C14" s="16">
        <f>'Base Game Calculations'!B63</f>
        <v>61920</v>
      </c>
      <c r="D14" s="61">
        <f>B14*C14/'Base Game Calculations'!C$80</f>
        <v>1.4357210046635108E-2</v>
      </c>
      <c r="E14" s="16">
        <f t="shared" si="0"/>
        <v>396288000</v>
      </c>
      <c r="F14" s="36">
        <f t="shared" si="1"/>
        <v>4953600</v>
      </c>
    </row>
    <row r="15" spans="1:6" ht="12.75" customHeight="1" x14ac:dyDescent="0.25">
      <c r="B15" s="35">
        <f>'Base Game Calculations'!A64</f>
        <v>60</v>
      </c>
      <c r="C15" s="16">
        <f>'Base Game Calculations'!B64</f>
        <v>287568</v>
      </c>
      <c r="D15" s="61">
        <f>B15*C15/'Base Game Calculations'!C$80</f>
        <v>5.0008165924064499E-2</v>
      </c>
      <c r="E15" s="16">
        <f t="shared" si="0"/>
        <v>1035244800</v>
      </c>
      <c r="F15" s="36">
        <f t="shared" si="1"/>
        <v>17254080</v>
      </c>
    </row>
    <row r="16" spans="1:6" ht="12.75" customHeight="1" x14ac:dyDescent="0.25">
      <c r="B16" s="35">
        <f>'Base Game Calculations'!A65</f>
        <v>50</v>
      </c>
      <c r="C16" s="16">
        <f>'Base Game Calculations'!B65</f>
        <v>3104</v>
      </c>
      <c r="D16" s="61">
        <f>B16*C16/'Base Game Calculations'!C$80</f>
        <v>4.4982214939392941E-4</v>
      </c>
      <c r="E16" s="16">
        <f t="shared" si="0"/>
        <v>7760000</v>
      </c>
      <c r="F16" s="36">
        <f t="shared" si="1"/>
        <v>155200</v>
      </c>
    </row>
    <row r="17" spans="1:6" ht="12.75" customHeight="1" x14ac:dyDescent="0.25">
      <c r="B17" s="35">
        <f>'Base Game Calculations'!A66</f>
        <v>48</v>
      </c>
      <c r="C17" s="16">
        <f>'Base Game Calculations'!B66</f>
        <v>566940</v>
      </c>
      <c r="D17" s="61">
        <f>B17*C17/'Base Game Calculations'!C$80</f>
        <v>7.8872835889915782E-2</v>
      </c>
      <c r="E17" s="16">
        <f t="shared" si="0"/>
        <v>1306229760</v>
      </c>
      <c r="F17" s="36">
        <f t="shared" si="1"/>
        <v>27213120</v>
      </c>
    </row>
    <row r="18" spans="1:6" ht="12.75" customHeight="1" x14ac:dyDescent="0.25">
      <c r="B18" s="35">
        <f>'Base Game Calculations'!A67</f>
        <v>40</v>
      </c>
      <c r="C18" s="16">
        <f>'Base Game Calculations'!B67</f>
        <v>734356</v>
      </c>
      <c r="D18" s="61">
        <f>B18*C18/'Base Game Calculations'!C$80</f>
        <v>8.5136493386682582E-2</v>
      </c>
      <c r="E18" s="16">
        <f t="shared" si="0"/>
        <v>1174969600</v>
      </c>
      <c r="F18" s="36">
        <f t="shared" si="1"/>
        <v>29374240</v>
      </c>
    </row>
    <row r="19" spans="1:6" ht="12.75" customHeight="1" x14ac:dyDescent="0.25">
      <c r="B19" s="35">
        <f>'Base Game Calculations'!A68</f>
        <v>30</v>
      </c>
      <c r="C19" s="16">
        <f>'Base Game Calculations'!B68</f>
        <v>155164</v>
      </c>
      <c r="D19" s="61">
        <f>B19*C19/'Base Game Calculations'!C$80</f>
        <v>1.3491534276139111E-2</v>
      </c>
      <c r="E19" s="16">
        <f t="shared" ref="E19:E28" si="2">B19*B19*C19</f>
        <v>139647600</v>
      </c>
      <c r="F19" s="36">
        <f t="shared" ref="F19:F28" si="3">B19*C19</f>
        <v>4654920</v>
      </c>
    </row>
    <row r="20" spans="1:6" ht="12.75" customHeight="1" x14ac:dyDescent="0.25">
      <c r="B20" s="35">
        <f>'Base Game Calculations'!A69</f>
        <v>24</v>
      </c>
      <c r="C20" s="16">
        <f>'Base Game Calculations'!B69</f>
        <v>87966</v>
      </c>
      <c r="D20" s="61">
        <f>B20*C20/'Base Game Calculations'!C$80</f>
        <v>6.1189260608638758E-3</v>
      </c>
      <c r="E20" s="16">
        <f t="shared" si="2"/>
        <v>50668416</v>
      </c>
      <c r="F20" s="36">
        <f t="shared" si="3"/>
        <v>2111184</v>
      </c>
    </row>
    <row r="21" spans="1:6" ht="12.75" customHeight="1" x14ac:dyDescent="0.25">
      <c r="B21" s="35">
        <f>'Base Game Calculations'!A70</f>
        <v>20</v>
      </c>
      <c r="C21" s="16">
        <f>'Base Game Calculations'!B70</f>
        <v>923904</v>
      </c>
      <c r="D21" s="61">
        <f>B21*C21/'Base Game Calculations'!C$80</f>
        <v>5.3555732360006311E-2</v>
      </c>
      <c r="E21" s="16">
        <f t="shared" si="2"/>
        <v>369561600</v>
      </c>
      <c r="F21" s="36">
        <f t="shared" si="3"/>
        <v>18478080</v>
      </c>
    </row>
    <row r="22" spans="1:6" ht="12.75" customHeight="1" x14ac:dyDescent="0.25">
      <c r="B22" s="35">
        <f>'Base Game Calculations'!A71</f>
        <v>16</v>
      </c>
      <c r="C22" s="16">
        <f>'Base Game Calculations'!B71</f>
        <v>913512</v>
      </c>
      <c r="D22" s="61">
        <f>B22*C22/'Base Game Calculations'!C$80</f>
        <v>4.2362673333726522E-2</v>
      </c>
      <c r="E22" s="16">
        <f t="shared" si="2"/>
        <v>233859072</v>
      </c>
      <c r="F22" s="36">
        <f t="shared" si="3"/>
        <v>14616192</v>
      </c>
    </row>
    <row r="23" spans="1:6" ht="12.75" customHeight="1" x14ac:dyDescent="0.25">
      <c r="B23" s="35">
        <f>'Base Game Calculations'!A72</f>
        <v>12</v>
      </c>
      <c r="C23" s="16">
        <f>'Base Game Calculations'!B72</f>
        <v>1428000</v>
      </c>
      <c r="D23" s="61">
        <f>B23*C23/'Base Game Calculations'!C$80</f>
        <v>4.9665930103185402E-2</v>
      </c>
      <c r="E23" s="16">
        <f t="shared" si="2"/>
        <v>205632000</v>
      </c>
      <c r="F23" s="36">
        <f t="shared" si="3"/>
        <v>17136000</v>
      </c>
    </row>
    <row r="24" spans="1:6" ht="12.75" customHeight="1" x14ac:dyDescent="0.25">
      <c r="B24" s="35">
        <f>'Base Game Calculations'!A73</f>
        <v>10</v>
      </c>
      <c r="C24" s="16">
        <f>'Base Game Calculations'!B73</f>
        <v>235314</v>
      </c>
      <c r="D24" s="61">
        <f>B24*C24/'Base Game Calculations'!C$80</f>
        <v>6.8201964730981385E-3</v>
      </c>
      <c r="E24" s="16">
        <f t="shared" si="2"/>
        <v>23531400</v>
      </c>
      <c r="F24" s="36">
        <f t="shared" si="3"/>
        <v>2353140</v>
      </c>
    </row>
    <row r="25" spans="1:6" ht="12.75" customHeight="1" x14ac:dyDescent="0.25">
      <c r="B25" s="35">
        <f>'Base Game Calculations'!A74</f>
        <v>8</v>
      </c>
      <c r="C25" s="16">
        <f>'Base Game Calculations'!B74</f>
        <v>1145256</v>
      </c>
      <c r="D25" s="61">
        <f>B25*C25/'Base Game Calculations'!C$80</f>
        <v>2.6554717295169797E-2</v>
      </c>
      <c r="E25" s="16">
        <f t="shared" si="2"/>
        <v>73296384</v>
      </c>
      <c r="F25" s="36">
        <f t="shared" si="3"/>
        <v>9162048</v>
      </c>
    </row>
    <row r="26" spans="1:6" ht="12.75" customHeight="1" x14ac:dyDescent="0.25">
      <c r="B26" s="35">
        <f>'Base Game Calculations'!A75</f>
        <v>6</v>
      </c>
      <c r="C26" s="16">
        <f>'Base Game Calculations'!B75</f>
        <v>704718</v>
      </c>
      <c r="D26" s="61">
        <f>B26*C26/'Base Game Calculations'!C$80</f>
        <v>1.2255068252960999E-2</v>
      </c>
      <c r="E26" s="16">
        <f t="shared" si="2"/>
        <v>25369848</v>
      </c>
      <c r="F26" s="36">
        <f t="shared" si="3"/>
        <v>4228308</v>
      </c>
    </row>
    <row r="27" spans="1:6" ht="12.75" customHeight="1" x14ac:dyDescent="0.25">
      <c r="B27" s="35">
        <f>'Base Game Calculations'!A76</f>
        <v>4</v>
      </c>
      <c r="C27" s="16">
        <f>'Base Game Calculations'!B76</f>
        <v>2661260</v>
      </c>
      <c r="D27" s="61">
        <f>B27*C27/'Base Game Calculations'!C$80</f>
        <v>3.0852930239589915E-2</v>
      </c>
      <c r="E27" s="16">
        <f t="shared" si="2"/>
        <v>42580160</v>
      </c>
      <c r="F27" s="36">
        <f t="shared" si="3"/>
        <v>10645040</v>
      </c>
    </row>
    <row r="28" spans="1:6" ht="12.75" customHeight="1" x14ac:dyDescent="0.25">
      <c r="B28" s="35">
        <f>'Base Game Calculations'!A77</f>
        <v>2</v>
      </c>
      <c r="C28" s="16">
        <f>'Base Game Calculations'!B77</f>
        <v>22408096</v>
      </c>
      <c r="D28" s="61">
        <f>B28*C28/'Base Game Calculations'!C$80</f>
        <v>0.12989249879568959</v>
      </c>
      <c r="E28" s="16">
        <f t="shared" si="2"/>
        <v>89632384</v>
      </c>
      <c r="F28" s="36">
        <f t="shared" si="3"/>
        <v>44816192</v>
      </c>
    </row>
    <row r="29" spans="1:6" ht="12.75" customHeight="1" thickBot="1" x14ac:dyDescent="0.35">
      <c r="B29" s="37" t="s">
        <v>49</v>
      </c>
      <c r="C29" s="38">
        <f>SUM(C4:C28)</f>
        <v>32479675</v>
      </c>
      <c r="D29" s="65">
        <f>SUM(D4:D28)</f>
        <v>0.76701326419729199</v>
      </c>
      <c r="E29" s="38">
        <f>SUM(E4:E28)</f>
        <v>40561301024</v>
      </c>
      <c r="F29" s="39">
        <f>SUM(F4:F28)</f>
        <v>264638944</v>
      </c>
    </row>
    <row r="31" spans="1:6" ht="12.75" customHeight="1" thickBot="1" x14ac:dyDescent="0.3">
      <c r="A31" t="s">
        <v>113</v>
      </c>
    </row>
    <row r="32" spans="1:6" ht="12.75" customHeight="1" x14ac:dyDescent="0.3">
      <c r="B32" s="50" t="s">
        <v>78</v>
      </c>
      <c r="C32" s="33"/>
      <c r="D32" s="33"/>
      <c r="E32" s="33"/>
      <c r="F32" s="34" t="s">
        <v>79</v>
      </c>
    </row>
    <row r="33" spans="2:6" ht="12.75" customHeight="1" x14ac:dyDescent="0.3">
      <c r="B33" s="43" t="s">
        <v>80</v>
      </c>
      <c r="C33" s="20" t="s">
        <v>81</v>
      </c>
      <c r="D33" s="20" t="s">
        <v>82</v>
      </c>
      <c r="E33" s="20" t="s">
        <v>112</v>
      </c>
      <c r="F33" s="44" t="s">
        <v>84</v>
      </c>
    </row>
    <row r="34" spans="2:6" ht="12.75" customHeight="1" x14ac:dyDescent="0.25">
      <c r="B34" s="35">
        <f>'Feature Game Calculations'!A53</f>
        <v>6000</v>
      </c>
      <c r="C34" s="66">
        <f>'Feature Game Calculations'!B53*'Feature Game Calculations'!C$88</f>
        <v>618.15854870461578</v>
      </c>
      <c r="D34" s="61">
        <f>B34*C34/'Feature Game Calculations'!C$80</f>
        <v>1.074979666409313E-2</v>
      </c>
      <c r="E34" s="16">
        <f t="shared" ref="E34:E44" si="4">B34*B34*C34</f>
        <v>22253707753.366169</v>
      </c>
      <c r="F34" s="36">
        <f t="shared" ref="F34:F44" si="5">B34*C34</f>
        <v>3708951.2922276948</v>
      </c>
    </row>
    <row r="35" spans="2:6" ht="12.75" customHeight="1" x14ac:dyDescent="0.25">
      <c r="B35" s="35">
        <f>'Feature Game Calculations'!A54</f>
        <v>3000</v>
      </c>
      <c r="C35" s="66">
        <f>'Feature Game Calculations'!B54*'Feature Game Calculations'!C$88</f>
        <v>91.021525036842604</v>
      </c>
      <c r="D35" s="61">
        <f>B35*C35/'Feature Game Calculations'!C$80</f>
        <v>7.9143359600230482E-4</v>
      </c>
      <c r="E35" s="16">
        <f t="shared" si="4"/>
        <v>819193725.33158338</v>
      </c>
      <c r="F35" s="36">
        <f t="shared" si="5"/>
        <v>273064.5751105278</v>
      </c>
    </row>
    <row r="36" spans="2:6" ht="12.75" customHeight="1" x14ac:dyDescent="0.25">
      <c r="B36" s="35">
        <f>'Feature Game Calculations'!A55</f>
        <v>2400</v>
      </c>
      <c r="C36" s="66">
        <f>'Feature Game Calculations'!B55*'Feature Game Calculations'!C$88</f>
        <v>698.06616264731531</v>
      </c>
      <c r="D36" s="61">
        <f>B36*C36/'Feature Game Calculations'!C$80</f>
        <v>4.8557570366163042E-3</v>
      </c>
      <c r="E36" s="16">
        <f t="shared" si="4"/>
        <v>4020861096.848536</v>
      </c>
      <c r="F36" s="36">
        <f t="shared" si="5"/>
        <v>1675358.7903535566</v>
      </c>
    </row>
    <row r="37" spans="2:6" ht="12.75" customHeight="1" x14ac:dyDescent="0.25">
      <c r="B37" s="35">
        <f>'Feature Game Calculations'!A56</f>
        <v>1800</v>
      </c>
      <c r="C37" s="66">
        <f>'Feature Game Calculations'!B56*'Feature Game Calculations'!C$88</f>
        <v>1129.9611887108497</v>
      </c>
      <c r="D37" s="61">
        <f>B37*C37/'Feature Game Calculations'!C$80</f>
        <v>5.8950182161581254E-3</v>
      </c>
      <c r="E37" s="16">
        <f t="shared" si="4"/>
        <v>3661074251.4231529</v>
      </c>
      <c r="F37" s="36">
        <f t="shared" si="5"/>
        <v>2033930.1396795295</v>
      </c>
    </row>
    <row r="38" spans="2:6" ht="12.75" customHeight="1" x14ac:dyDescent="0.25">
      <c r="B38" s="35">
        <f>'Feature Game Calculations'!A57</f>
        <v>1500</v>
      </c>
      <c r="C38" s="66">
        <f>'Feature Game Calculations'!B57*'Feature Game Calculations'!C$88</f>
        <v>2780.4473274005522</v>
      </c>
      <c r="D38" s="61">
        <f>B38*C38/'Feature Game Calculations'!C$80</f>
        <v>1.2088016685772451E-2</v>
      </c>
      <c r="E38" s="16">
        <f t="shared" si="4"/>
        <v>6256006486.6512423</v>
      </c>
      <c r="F38" s="36">
        <f t="shared" si="5"/>
        <v>4170670.9911008282</v>
      </c>
    </row>
    <row r="39" spans="2:6" ht="12.75" customHeight="1" x14ac:dyDescent="0.25">
      <c r="B39" s="35">
        <f>'Feature Game Calculations'!A58</f>
        <v>1200</v>
      </c>
      <c r="C39" s="66">
        <f>'Feature Game Calculations'!B58*'Feature Game Calculations'!C$88</f>
        <v>1659.2787898717775</v>
      </c>
      <c r="D39" s="61">
        <f>B39*C39/'Feature Game Calculations'!C$80</f>
        <v>5.7709821008032043E-3</v>
      </c>
      <c r="E39" s="16">
        <f t="shared" si="4"/>
        <v>2389361457.4153595</v>
      </c>
      <c r="F39" s="36">
        <f t="shared" si="5"/>
        <v>1991134.5478461329</v>
      </c>
    </row>
    <row r="40" spans="2:6" ht="12.75" customHeight="1" x14ac:dyDescent="0.25">
      <c r="B40" s="35">
        <f>'Feature Game Calculations'!A59</f>
        <v>900</v>
      </c>
      <c r="C40" s="66">
        <f>'Feature Game Calculations'!B59*'Feature Game Calculations'!C$88</f>
        <v>139.27559472407137</v>
      </c>
      <c r="D40" s="61">
        <f>B40*C40/'Feature Game Calculations'!C$80</f>
        <v>3.633010479330518E-4</v>
      </c>
      <c r="E40" s="16">
        <f t="shared" si="4"/>
        <v>112813231.72649781</v>
      </c>
      <c r="F40" s="36">
        <f t="shared" si="5"/>
        <v>125348.03525166423</v>
      </c>
    </row>
    <row r="41" spans="2:6" ht="12.75" customHeight="1" x14ac:dyDescent="0.25">
      <c r="B41" s="35">
        <f>'Feature Game Calculations'!A60</f>
        <v>750</v>
      </c>
      <c r="C41" s="66">
        <f>'Feature Game Calculations'!B60*'Feature Game Calculations'!C$88</f>
        <v>898.96065685536973</v>
      </c>
      <c r="D41" s="61">
        <f>B41*C41/'Feature Game Calculations'!C$80</f>
        <v>1.9541192729732332E-3</v>
      </c>
      <c r="E41" s="16">
        <f t="shared" si="4"/>
        <v>505665369.4811455</v>
      </c>
      <c r="F41" s="36">
        <f t="shared" si="5"/>
        <v>674220.49264152732</v>
      </c>
    </row>
    <row r="42" spans="2:6" ht="12.75" customHeight="1" x14ac:dyDescent="0.25">
      <c r="B42" s="35">
        <f>'Feature Game Calculations'!A61</f>
        <v>600</v>
      </c>
      <c r="C42" s="66">
        <f>'Feature Game Calculations'!B61*'Feature Game Calculations'!C$88</f>
        <v>352.83150663431417</v>
      </c>
      <c r="D42" s="61">
        <f>B42*C42/'Feature Game Calculations'!C$80</f>
        <v>6.1357510317582096E-4</v>
      </c>
      <c r="E42" s="16">
        <f t="shared" si="4"/>
        <v>127019342.38835309</v>
      </c>
      <c r="F42" s="36">
        <f t="shared" si="5"/>
        <v>211698.90398058851</v>
      </c>
    </row>
    <row r="43" spans="2:6" ht="12.75" customHeight="1" x14ac:dyDescent="0.25">
      <c r="B43" s="35">
        <f>'Feature Game Calculations'!A62</f>
        <v>300</v>
      </c>
      <c r="C43" s="66">
        <f>'Feature Game Calculations'!B62*'Feature Game Calculations'!C$88</f>
        <v>7747.6621743879377</v>
      </c>
      <c r="D43" s="61">
        <f>B43*C43/'Feature Game Calculations'!C$80</f>
        <v>6.7366044820771137E-3</v>
      </c>
      <c r="E43" s="16">
        <f t="shared" si="4"/>
        <v>697289595.69491434</v>
      </c>
      <c r="F43" s="36">
        <f t="shared" si="5"/>
        <v>2324298.6523163812</v>
      </c>
    </row>
    <row r="44" spans="2:6" ht="12.75" customHeight="1" x14ac:dyDescent="0.25">
      <c r="B44" s="35">
        <f>'Feature Game Calculations'!A63</f>
        <v>240</v>
      </c>
      <c r="C44" s="66">
        <f>'Feature Game Calculations'!B63*'Feature Game Calculations'!C$88</f>
        <v>7667.754560445238</v>
      </c>
      <c r="D44" s="61">
        <f>B44*C44/'Feature Game Calculations'!C$80</f>
        <v>5.3336997485637864E-3</v>
      </c>
      <c r="E44" s="16">
        <f t="shared" si="4"/>
        <v>441662662.68164569</v>
      </c>
      <c r="F44" s="36">
        <f t="shared" si="5"/>
        <v>1840261.0945068572</v>
      </c>
    </row>
    <row r="45" spans="2:6" ht="12.75" customHeight="1" x14ac:dyDescent="0.25">
      <c r="B45" s="35">
        <f>'Feature Game Calculations'!A64</f>
        <v>180</v>
      </c>
      <c r="C45" s="66">
        <f>'Feature Game Calculations'!B64*'Feature Game Calculations'!C$88</f>
        <v>12243.872282853919</v>
      </c>
      <c r="D45" s="61">
        <f>B45*C45/'Feature Game Calculations'!C$80</f>
        <v>6.3876397583251246E-3</v>
      </c>
      <c r="E45" s="16">
        <f t="shared" ref="E45:E58" si="6">B45*B45*C45</f>
        <v>396701461.96446699</v>
      </c>
      <c r="F45" s="36">
        <f t="shared" ref="F45:F58" si="7">B45*C45</f>
        <v>2203897.0109137055</v>
      </c>
    </row>
    <row r="46" spans="2:6" ht="12.75" customHeight="1" x14ac:dyDescent="0.25">
      <c r="B46" s="35">
        <f>'Feature Game Calculations'!A65</f>
        <v>150</v>
      </c>
      <c r="C46" s="66">
        <f>'Feature Game Calculations'!B65*'Feature Game Calculations'!C$88</f>
        <v>1150.2194570343511</v>
      </c>
      <c r="D46" s="61">
        <f>B46*C46/'Feature Game Calculations'!C$80</f>
        <v>5.0005881614488751E-4</v>
      </c>
      <c r="E46" s="16">
        <f t="shared" si="6"/>
        <v>25879937.7832729</v>
      </c>
      <c r="F46" s="36">
        <f t="shared" si="7"/>
        <v>172532.91855515266</v>
      </c>
    </row>
    <row r="47" spans="2:6" ht="12.75" customHeight="1" x14ac:dyDescent="0.25">
      <c r="B47" s="35">
        <f>'Feature Game Calculations'!A66</f>
        <v>144</v>
      </c>
      <c r="C47" s="66">
        <f>'Feature Game Calculations'!B66*'Feature Game Calculations'!C$88</f>
        <v>51532.814142419884</v>
      </c>
      <c r="D47" s="61">
        <f>B47*C47/'Feature Game Calculations'!C$80</f>
        <v>2.1507774329561937E-2</v>
      </c>
      <c r="E47" s="16">
        <f t="shared" si="6"/>
        <v>1068584434.0572187</v>
      </c>
      <c r="F47" s="36">
        <f t="shared" si="7"/>
        <v>7420725.2365084635</v>
      </c>
    </row>
    <row r="48" spans="2:6" ht="12.75" customHeight="1" x14ac:dyDescent="0.25">
      <c r="B48" s="35">
        <f>'Feature Game Calculations'!A67</f>
        <v>120</v>
      </c>
      <c r="C48" s="66">
        <f>'Feature Game Calculations'!B67*'Feature Game Calculations'!C$88</f>
        <v>72194.841008202071</v>
      </c>
      <c r="D48" s="61">
        <f>B48*C48/'Feature Game Calculations'!C$80</f>
        <v>2.5109411255769938E-2</v>
      </c>
      <c r="E48" s="16">
        <f t="shared" si="6"/>
        <v>1039605710.5181098</v>
      </c>
      <c r="F48" s="36">
        <f t="shared" si="7"/>
        <v>8663380.9209842477</v>
      </c>
    </row>
    <row r="49" spans="1:8" ht="12.75" customHeight="1" x14ac:dyDescent="0.25">
      <c r="B49" s="35">
        <f>'Feature Game Calculations'!A68</f>
        <v>90</v>
      </c>
      <c r="C49" s="66">
        <f>'Feature Game Calculations'!B68*'Feature Game Calculations'!C$88</f>
        <v>6316.6406092028328</v>
      </c>
      <c r="D49" s="61">
        <f>B49*C49/'Feature Game Calculations'!C$80</f>
        <v>1.6476986921408108E-3</v>
      </c>
      <c r="E49" s="16">
        <f t="shared" si="6"/>
        <v>51164788.934542947</v>
      </c>
      <c r="F49" s="36">
        <f t="shared" si="7"/>
        <v>568497.65482825495</v>
      </c>
    </row>
    <row r="50" spans="1:8" ht="12.75" customHeight="1" x14ac:dyDescent="0.25">
      <c r="B50" s="35">
        <f>'Feature Game Calculations'!A69</f>
        <v>72</v>
      </c>
      <c r="C50" s="66">
        <f>'Feature Game Calculations'!B69*'Feature Game Calculations'!C$88</f>
        <v>18795.87457889854</v>
      </c>
      <c r="D50" s="61">
        <f>B50*C50/'Feature Game Calculations'!C$80</f>
        <v>3.922330222957203E-3</v>
      </c>
      <c r="E50" s="16">
        <f t="shared" si="6"/>
        <v>97437813.81701003</v>
      </c>
      <c r="F50" s="36">
        <f t="shared" si="7"/>
        <v>1353302.9696806949</v>
      </c>
    </row>
    <row r="51" spans="1:8" ht="12.75" customHeight="1" x14ac:dyDescent="0.25">
      <c r="B51" s="35">
        <f>'Feature Game Calculations'!A70</f>
        <v>60</v>
      </c>
      <c r="C51" s="66">
        <f>'Feature Game Calculations'!B70*'Feature Game Calculations'!C$88</f>
        <v>62763.913691517657</v>
      </c>
      <c r="D51" s="61">
        <f>B51*C51/'Feature Game Calculations'!C$80</f>
        <v>1.091466439217534E-2</v>
      </c>
      <c r="E51" s="16">
        <f t="shared" si="6"/>
        <v>225950089.28946355</v>
      </c>
      <c r="F51" s="36">
        <f t="shared" si="7"/>
        <v>3765834.8214910594</v>
      </c>
    </row>
    <row r="52" spans="1:8" ht="12.75" customHeight="1" x14ac:dyDescent="0.25">
      <c r="B52" s="35">
        <f>'Feature Game Calculations'!A71</f>
        <v>48</v>
      </c>
      <c r="C52" s="66">
        <f>'Feature Game Calculations'!B71*'Feature Game Calculations'!C$88</f>
        <v>69136.405221029025</v>
      </c>
      <c r="D52" s="61">
        <f>B52*C52/'Feature Game Calculations'!C$80</f>
        <v>9.6182741436782355E-3</v>
      </c>
      <c r="E52" s="16">
        <f t="shared" si="6"/>
        <v>159290277.62925088</v>
      </c>
      <c r="F52" s="36">
        <f t="shared" si="7"/>
        <v>3318547.4506093934</v>
      </c>
    </row>
    <row r="53" spans="1:8" ht="12.75" customHeight="1" x14ac:dyDescent="0.25">
      <c r="B53" s="35">
        <f>'Feature Game Calculations'!A72</f>
        <v>36</v>
      </c>
      <c r="C53" s="66">
        <f>'Feature Game Calculations'!B72*'Feature Game Calculations'!C$88</f>
        <v>95941.470591075151</v>
      </c>
      <c r="D53" s="61">
        <f>B53*C53/'Feature Game Calculations'!C$80</f>
        <v>1.0010551202464614E-2</v>
      </c>
      <c r="E53" s="16">
        <f t="shared" si="6"/>
        <v>124340145.8860334</v>
      </c>
      <c r="F53" s="36">
        <f t="shared" si="7"/>
        <v>3453892.9412787054</v>
      </c>
    </row>
    <row r="54" spans="1:8" ht="12.75" customHeight="1" x14ac:dyDescent="0.25">
      <c r="B54" s="35">
        <f>'Feature Game Calculations'!A73</f>
        <v>30</v>
      </c>
      <c r="C54" s="66">
        <f>'Feature Game Calculations'!B73*'Feature Game Calculations'!C$88</f>
        <v>12950.520073054939</v>
      </c>
      <c r="D54" s="61">
        <f>B54*C54/'Feature Game Calculations'!C$80</f>
        <v>1.1260497632147165E-3</v>
      </c>
      <c r="E54" s="16">
        <f t="shared" si="6"/>
        <v>11655468.065749444</v>
      </c>
      <c r="F54" s="36">
        <f t="shared" si="7"/>
        <v>388515.60219164815</v>
      </c>
    </row>
    <row r="55" spans="1:8" ht="12.75" customHeight="1" x14ac:dyDescent="0.25">
      <c r="B55" s="35">
        <f>'Feature Game Calculations'!A74</f>
        <v>24</v>
      </c>
      <c r="C55" s="66">
        <f>'Feature Game Calculations'!B74*'Feature Game Calculations'!C$88</f>
        <v>157544.33227930215</v>
      </c>
      <c r="D55" s="61">
        <f>B55*C55/'Feature Game Calculations'!C$80</f>
        <v>1.095880363464543E-2</v>
      </c>
      <c r="E55" s="16">
        <f t="shared" si="6"/>
        <v>90745535.392878041</v>
      </c>
      <c r="F55" s="36">
        <f t="shared" si="7"/>
        <v>3781063.9747032514</v>
      </c>
    </row>
    <row r="56" spans="1:8" ht="12.75" customHeight="1" x14ac:dyDescent="0.25">
      <c r="B56" s="35">
        <f>'Feature Game Calculations'!A75</f>
        <v>18</v>
      </c>
      <c r="C56" s="66">
        <f>'Feature Game Calculations'!B75*'Feature Game Calculations'!C$88</f>
        <v>37796.86412457253</v>
      </c>
      <c r="D56" s="61">
        <f>B56*C56/'Feature Game Calculations'!C$80</f>
        <v>1.9718659787086295E-3</v>
      </c>
      <c r="E56" s="16">
        <f t="shared" si="6"/>
        <v>12246183.9763615</v>
      </c>
      <c r="F56" s="36">
        <f t="shared" si="7"/>
        <v>680343.55424230557</v>
      </c>
    </row>
    <row r="57" spans="1:8" ht="12.75" customHeight="1" x14ac:dyDescent="0.25">
      <c r="B57" s="35">
        <f>'Feature Game Calculations'!A76</f>
        <v>12</v>
      </c>
      <c r="C57" s="66">
        <f>'Feature Game Calculations'!B76*'Feature Game Calculations'!C$88</f>
        <v>225320.33850944048</v>
      </c>
      <c r="D57" s="61">
        <f>B57*C57/'Feature Game Calculations'!C$80</f>
        <v>7.8366555905013627E-3</v>
      </c>
      <c r="E57" s="16">
        <f t="shared" si="6"/>
        <v>32446128.745359428</v>
      </c>
      <c r="F57" s="36">
        <f t="shared" si="7"/>
        <v>2703844.062113286</v>
      </c>
    </row>
    <row r="58" spans="1:8" ht="12.75" customHeight="1" x14ac:dyDescent="0.25">
      <c r="B58" s="35">
        <f>'Feature Game Calculations'!A77</f>
        <v>6</v>
      </c>
      <c r="C58" s="66">
        <f>'Feature Game Calculations'!B77*'Feature Game Calculations'!C$88</f>
        <v>1168485.6623060415</v>
      </c>
      <c r="D58" s="61">
        <f>B58*C58/'Feature Game Calculations'!C$80</f>
        <v>2.0320002531745852E-2</v>
      </c>
      <c r="E58" s="16">
        <f t="shared" si="6"/>
        <v>42065483.843017489</v>
      </c>
      <c r="F58" s="36">
        <f t="shared" si="7"/>
        <v>7010913.9738362487</v>
      </c>
    </row>
    <row r="59" spans="1:8" ht="12.75" customHeight="1" thickBot="1" x14ac:dyDescent="0.35">
      <c r="B59" s="37" t="s">
        <v>49</v>
      </c>
      <c r="C59" s="67">
        <f>SUM(C34:C58)</f>
        <v>2015957.1869100637</v>
      </c>
      <c r="D59" s="65">
        <f>SUM(D34:D58)</f>
        <v>0.18698408426620258</v>
      </c>
      <c r="E59" s="38">
        <f>SUM(E34:E58)</f>
        <v>44662768432.911354</v>
      </c>
      <c r="F59" s="39">
        <f>SUM(F34:F58)</f>
        <v>64514230.606951706</v>
      </c>
      <c r="H59" s="23"/>
    </row>
    <row r="60" spans="1:8" ht="12.75" customHeight="1" x14ac:dyDescent="0.25">
      <c r="B60" s="16"/>
    </row>
    <row r="61" spans="1:8" ht="12.75" customHeight="1" thickBot="1" x14ac:dyDescent="0.3">
      <c r="A61" t="s">
        <v>114</v>
      </c>
      <c r="C61" s="80"/>
    </row>
    <row r="62" spans="1:8" ht="12.75" customHeight="1" x14ac:dyDescent="0.3">
      <c r="B62" s="50" t="str">
        <f>'Base Game Calculations'!A51</f>
        <v>Overall Hits:</v>
      </c>
      <c r="C62" s="33"/>
      <c r="D62" s="33"/>
      <c r="E62" s="33"/>
      <c r="F62" s="33" t="str">
        <f>'Base Game Calculations'!E51</f>
        <v>Total</v>
      </c>
      <c r="G62" s="43"/>
    </row>
    <row r="63" spans="1:8" ht="12.75" customHeight="1" x14ac:dyDescent="0.3">
      <c r="B63" s="43" t="str">
        <f>'Base Game Calculations'!A52</f>
        <v>Prize:</v>
      </c>
      <c r="C63" s="20" t="str">
        <f>'Base Game Calculations'!B52</f>
        <v>Hits:</v>
      </c>
      <c r="D63" s="20" t="str">
        <f>'Base Game Calculations'!C52</f>
        <v>Return:</v>
      </c>
      <c r="E63" s="20" t="str">
        <f>'Base Game Calculations'!D52</f>
        <v>Prize2.Hits</v>
      </c>
      <c r="F63" s="20" t="str">
        <f>'Base Game Calculations'!E52</f>
        <v>Coin</v>
      </c>
      <c r="G63" s="43"/>
    </row>
    <row r="64" spans="1:8" ht="12.75" customHeight="1" x14ac:dyDescent="0.25">
      <c r="B64" s="35">
        <f>LARGE(B$4:B$58,1)</f>
        <v>6000</v>
      </c>
      <c r="C64" s="68">
        <f t="shared" ref="C64:C79" si="8">SUMIF($B$4:$B$58,B64,$C$4:$C$58)</f>
        <v>618.15854870461578</v>
      </c>
      <c r="D64" s="61">
        <f>B64*C64/'Feature Game Calculations'!C$80</f>
        <v>1.074979666409313E-2</v>
      </c>
      <c r="E64" s="16">
        <f>B64*B64*C64</f>
        <v>22253707753.366169</v>
      </c>
      <c r="F64" s="36">
        <f>B64*C64</f>
        <v>3708951.2922276948</v>
      </c>
      <c r="G64" s="48"/>
    </row>
    <row r="65" spans="2:7" ht="12.75" customHeight="1" x14ac:dyDescent="0.25">
      <c r="B65" s="35">
        <f>LARGE(B$4:B$58,(RANK(B64,B$4:B$58)+(COUNTIF(B$4:B$58,B64))))</f>
        <v>3000</v>
      </c>
      <c r="C65" s="68">
        <f t="shared" si="8"/>
        <v>91.021525036842604</v>
      </c>
      <c r="D65" s="61">
        <f>B65*C65/'Feature Game Calculations'!C$80</f>
        <v>7.9143359600230482E-4</v>
      </c>
      <c r="E65" s="16">
        <f t="shared" ref="E65:E70" si="9">B65*B65*C65</f>
        <v>819193725.33158338</v>
      </c>
      <c r="F65" s="36">
        <f t="shared" ref="F65:F70" si="10">B65*C65</f>
        <v>273064.5751105278</v>
      </c>
      <c r="G65" s="48"/>
    </row>
    <row r="66" spans="2:7" ht="12.75" customHeight="1" x14ac:dyDescent="0.25">
      <c r="B66" s="35">
        <f t="shared" ref="B66:B105" si="11">LARGE(B$4:B$58,(RANK(B65,B$4:B$58)+(COUNTIF(B$4:B$58,B65))))</f>
        <v>2400</v>
      </c>
      <c r="C66" s="68">
        <f t="shared" si="8"/>
        <v>698.06616264731531</v>
      </c>
      <c r="D66" s="61">
        <f>B66*C66/'Feature Game Calculations'!C$80</f>
        <v>4.8557570366163042E-3</v>
      </c>
      <c r="E66" s="16">
        <f t="shared" si="9"/>
        <v>4020861096.848536</v>
      </c>
      <c r="F66" s="36">
        <f t="shared" si="10"/>
        <v>1675358.7903535566</v>
      </c>
      <c r="G66" s="48"/>
    </row>
    <row r="67" spans="2:7" ht="12.75" customHeight="1" x14ac:dyDescent="0.25">
      <c r="B67" s="35">
        <f t="shared" si="11"/>
        <v>2000</v>
      </c>
      <c r="C67" s="68">
        <f t="shared" si="8"/>
        <v>2576</v>
      </c>
      <c r="D67" s="61">
        <f>B67*C67/'Feature Game Calculations'!C$80</f>
        <v>1.4932240423179926E-2</v>
      </c>
      <c r="E67" s="16">
        <f t="shared" si="9"/>
        <v>10304000000</v>
      </c>
      <c r="F67" s="36">
        <f t="shared" si="10"/>
        <v>5152000</v>
      </c>
      <c r="G67" s="48"/>
    </row>
    <row r="68" spans="2:7" ht="12.75" customHeight="1" x14ac:dyDescent="0.25">
      <c r="B68" s="35">
        <f t="shared" si="11"/>
        <v>1800</v>
      </c>
      <c r="C68" s="68">
        <f t="shared" si="8"/>
        <v>1129.9611887108497</v>
      </c>
      <c r="D68" s="61">
        <f>B68*C68/'Feature Game Calculations'!C$80</f>
        <v>5.8950182161581254E-3</v>
      </c>
      <c r="E68" s="16">
        <f t="shared" si="9"/>
        <v>3661074251.4231529</v>
      </c>
      <c r="F68" s="36">
        <f t="shared" si="10"/>
        <v>2033930.1396795295</v>
      </c>
      <c r="G68" s="48"/>
    </row>
    <row r="69" spans="2:7" ht="12.75" customHeight="1" x14ac:dyDescent="0.25">
      <c r="B69" s="35">
        <f t="shared" si="11"/>
        <v>1500</v>
      </c>
      <c r="C69" s="68">
        <f t="shared" si="8"/>
        <v>2780.4473274005522</v>
      </c>
      <c r="D69" s="61">
        <f>B69*C69/'Feature Game Calculations'!C$80</f>
        <v>1.2088016685772451E-2</v>
      </c>
      <c r="E69" s="16">
        <f t="shared" si="9"/>
        <v>6256006486.6512423</v>
      </c>
      <c r="F69" s="36">
        <f t="shared" si="10"/>
        <v>4170670.9911008282</v>
      </c>
      <c r="G69" s="48"/>
    </row>
    <row r="70" spans="2:7" ht="12.75" customHeight="1" x14ac:dyDescent="0.25">
      <c r="B70" s="35">
        <f t="shared" si="11"/>
        <v>1200</v>
      </c>
      <c r="C70" s="68">
        <f t="shared" si="8"/>
        <v>1659.2787898717775</v>
      </c>
      <c r="D70" s="61">
        <f>B70*C70/'Feature Game Calculations'!C$80</f>
        <v>5.7709821008032043E-3</v>
      </c>
      <c r="E70" s="16">
        <f t="shared" si="9"/>
        <v>2389361457.4153595</v>
      </c>
      <c r="F70" s="36">
        <f t="shared" si="10"/>
        <v>1991134.5478461329</v>
      </c>
      <c r="G70" s="48"/>
    </row>
    <row r="71" spans="2:7" ht="12.75" customHeight="1" x14ac:dyDescent="0.25">
      <c r="B71" s="35">
        <f t="shared" si="11"/>
        <v>1000</v>
      </c>
      <c r="C71" s="68">
        <f t="shared" si="8"/>
        <v>160</v>
      </c>
      <c r="D71" s="61">
        <f>B71*C71/'Feature Game Calculations'!C$80</f>
        <v>4.6373417463291695E-4</v>
      </c>
      <c r="E71" s="16">
        <f t="shared" ref="E71:E79" si="12">B71*B71*C71</f>
        <v>160000000</v>
      </c>
      <c r="F71" s="36">
        <f t="shared" ref="F71:F79" si="13">B71*C71</f>
        <v>160000</v>
      </c>
      <c r="G71" s="48"/>
    </row>
    <row r="72" spans="2:7" ht="12.75" customHeight="1" x14ac:dyDescent="0.25">
      <c r="B72" s="35">
        <f t="shared" si="11"/>
        <v>900</v>
      </c>
      <c r="C72" s="68">
        <f t="shared" si="8"/>
        <v>139.27559472407137</v>
      </c>
      <c r="D72" s="61">
        <f>B72*C72/'Feature Game Calculations'!C$80</f>
        <v>3.633010479330518E-4</v>
      </c>
      <c r="E72" s="16">
        <f t="shared" si="12"/>
        <v>112813231.72649781</v>
      </c>
      <c r="F72" s="36">
        <f t="shared" si="13"/>
        <v>125348.03525166423</v>
      </c>
      <c r="G72" s="48"/>
    </row>
    <row r="73" spans="2:7" ht="12.75" customHeight="1" x14ac:dyDescent="0.25">
      <c r="B73" s="35">
        <f t="shared" si="11"/>
        <v>800</v>
      </c>
      <c r="C73" s="68">
        <f t="shared" si="8"/>
        <v>8256</v>
      </c>
      <c r="D73" s="61">
        <f>B73*C73/'Feature Game Calculations'!C$80</f>
        <v>1.914294672884681E-2</v>
      </c>
      <c r="E73" s="16">
        <f t="shared" si="12"/>
        <v>5283840000</v>
      </c>
      <c r="F73" s="36">
        <f t="shared" si="13"/>
        <v>6604800</v>
      </c>
      <c r="G73" s="48"/>
    </row>
    <row r="74" spans="2:7" ht="12.75" customHeight="1" x14ac:dyDescent="0.25">
      <c r="B74" s="35">
        <f t="shared" si="11"/>
        <v>750</v>
      </c>
      <c r="C74" s="68">
        <f t="shared" si="8"/>
        <v>898.96065685536973</v>
      </c>
      <c r="D74" s="61">
        <f>B74*C74/'Feature Game Calculations'!C$80</f>
        <v>1.9541192729732332E-3</v>
      </c>
      <c r="E74" s="16">
        <f t="shared" si="12"/>
        <v>505665369.4811455</v>
      </c>
      <c r="F74" s="36">
        <f t="shared" si="13"/>
        <v>674220.49264152732</v>
      </c>
      <c r="G74" s="48"/>
    </row>
    <row r="75" spans="2:7" ht="12.75" customHeight="1" x14ac:dyDescent="0.25">
      <c r="B75" s="35">
        <f t="shared" si="11"/>
        <v>600</v>
      </c>
      <c r="C75" s="68">
        <f t="shared" si="8"/>
        <v>21232.831506634313</v>
      </c>
      <c r="D75" s="61">
        <f>B75*C75/'Feature Game Calculations'!C$80</f>
        <v>3.6923960976933221E-2</v>
      </c>
      <c r="E75" s="16">
        <f t="shared" si="12"/>
        <v>7643819342.3883524</v>
      </c>
      <c r="F75" s="36">
        <f t="shared" si="13"/>
        <v>12739698.903980589</v>
      </c>
      <c r="G75" s="48"/>
    </row>
    <row r="76" spans="2:7" ht="12.75" customHeight="1" x14ac:dyDescent="0.25">
      <c r="B76" s="35">
        <f t="shared" si="11"/>
        <v>500</v>
      </c>
      <c r="C76" s="68">
        <f t="shared" si="8"/>
        <v>31800</v>
      </c>
      <c r="D76" s="61">
        <f>B76*C76/'Feature Game Calculations'!C$80</f>
        <v>4.6083583604146119E-2</v>
      </c>
      <c r="E76" s="16">
        <f t="shared" si="12"/>
        <v>7950000000</v>
      </c>
      <c r="F76" s="36">
        <f t="shared" si="13"/>
        <v>15900000</v>
      </c>
      <c r="G76" s="48"/>
    </row>
    <row r="77" spans="2:7" ht="12.75" customHeight="1" x14ac:dyDescent="0.25">
      <c r="B77" s="35">
        <f t="shared" si="11"/>
        <v>400</v>
      </c>
      <c r="C77" s="68">
        <f t="shared" si="8"/>
        <v>12700</v>
      </c>
      <c r="D77" s="61">
        <f>B77*C77/'Feature Game Calculations'!C$80</f>
        <v>1.4723560044595112E-2</v>
      </c>
      <c r="E77" s="16">
        <f t="shared" si="12"/>
        <v>2032000000</v>
      </c>
      <c r="F77" s="36">
        <f t="shared" si="13"/>
        <v>5080000</v>
      </c>
      <c r="G77" s="48"/>
    </row>
    <row r="78" spans="2:7" ht="12.75" customHeight="1" x14ac:dyDescent="0.25">
      <c r="B78" s="35">
        <f t="shared" si="11"/>
        <v>300</v>
      </c>
      <c r="C78" s="68">
        <f t="shared" si="8"/>
        <v>16967.662174387937</v>
      </c>
      <c r="D78" s="61">
        <f>B78*C78/'Feature Game Calculations'!C$80</f>
        <v>1.4753409026043666E-2</v>
      </c>
      <c r="E78" s="16">
        <f t="shared" si="12"/>
        <v>1527089595.6949143</v>
      </c>
      <c r="F78" s="36">
        <f t="shared" si="13"/>
        <v>5090298.6523163812</v>
      </c>
      <c r="G78" s="48"/>
    </row>
    <row r="79" spans="2:7" ht="12.75" customHeight="1" x14ac:dyDescent="0.25">
      <c r="B79" s="35">
        <f t="shared" si="11"/>
        <v>250</v>
      </c>
      <c r="C79" s="68">
        <f t="shared" si="8"/>
        <v>8220</v>
      </c>
      <c r="D79" s="61">
        <f>B79*C79/'Feature Game Calculations'!C$80</f>
        <v>5.9560858054415267E-3</v>
      </c>
      <c r="E79" s="16">
        <f t="shared" si="12"/>
        <v>513750000</v>
      </c>
      <c r="F79" s="36">
        <f t="shared" si="13"/>
        <v>2055000</v>
      </c>
      <c r="G79" s="48"/>
    </row>
    <row r="80" spans="2:7" ht="12.75" customHeight="1" x14ac:dyDescent="0.25">
      <c r="B80" s="35">
        <f t="shared" si="11"/>
        <v>240</v>
      </c>
      <c r="C80" s="68">
        <f t="shared" ref="C80:C105" si="14">SUMIF($B$4:$B$58,B80,$C$4:$C$58)</f>
        <v>7667.754560445238</v>
      </c>
      <c r="D80" s="61">
        <f>B80*C80/'Feature Game Calculations'!C$80</f>
        <v>5.3336997485637864E-3</v>
      </c>
      <c r="E80" s="16">
        <f t="shared" ref="E80:E105" si="15">B80*B80*C80</f>
        <v>441662662.68164569</v>
      </c>
      <c r="F80" s="36">
        <f t="shared" ref="F80:F105" si="16">B80*C80</f>
        <v>1840261.0945068572</v>
      </c>
      <c r="G80" s="48"/>
    </row>
    <row r="81" spans="2:7" ht="12.75" customHeight="1" x14ac:dyDescent="0.25">
      <c r="B81" s="35">
        <f t="shared" si="11"/>
        <v>200</v>
      </c>
      <c r="C81" s="68">
        <f t="shared" si="14"/>
        <v>3633</v>
      </c>
      <c r="D81" s="61">
        <f>B81*C81/'Feature Game Calculations'!C$80</f>
        <v>2.1059328205517342E-3</v>
      </c>
      <c r="E81" s="16">
        <f t="shared" si="15"/>
        <v>145320000</v>
      </c>
      <c r="F81" s="36">
        <f t="shared" si="16"/>
        <v>726600</v>
      </c>
      <c r="G81" s="48"/>
    </row>
    <row r="82" spans="2:7" ht="12.75" customHeight="1" x14ac:dyDescent="0.25">
      <c r="B82" s="35">
        <f t="shared" si="11"/>
        <v>180</v>
      </c>
      <c r="C82" s="68">
        <f t="shared" si="14"/>
        <v>12243.872282853919</v>
      </c>
      <c r="D82" s="61">
        <f>B82*C82/'Feature Game Calculations'!C$80</f>
        <v>6.3876397583251246E-3</v>
      </c>
      <c r="E82" s="16">
        <f t="shared" si="15"/>
        <v>396701461.96446699</v>
      </c>
      <c r="F82" s="36">
        <f t="shared" si="16"/>
        <v>2203897.0109137055</v>
      </c>
      <c r="G82" s="48"/>
    </row>
    <row r="83" spans="2:7" ht="12.75" customHeight="1" x14ac:dyDescent="0.25">
      <c r="B83" s="35">
        <f t="shared" si="11"/>
        <v>150</v>
      </c>
      <c r="C83" s="68">
        <f t="shared" si="14"/>
        <v>1150.2194570343511</v>
      </c>
      <c r="D83" s="61">
        <f>B83*C83/'Feature Game Calculations'!C$80</f>
        <v>5.0005881614488751E-4</v>
      </c>
      <c r="E83" s="16">
        <f t="shared" si="15"/>
        <v>25879937.7832729</v>
      </c>
      <c r="F83" s="36">
        <f t="shared" si="16"/>
        <v>172532.91855515266</v>
      </c>
      <c r="G83" s="48"/>
    </row>
    <row r="84" spans="2:7" ht="12.75" customHeight="1" x14ac:dyDescent="0.25">
      <c r="B84" s="35">
        <f t="shared" si="11"/>
        <v>144</v>
      </c>
      <c r="C84" s="68">
        <f t="shared" si="14"/>
        <v>51532.814142419884</v>
      </c>
      <c r="D84" s="61">
        <f>B84*C84/'Feature Game Calculations'!C$80</f>
        <v>2.1507774329561937E-2</v>
      </c>
      <c r="E84" s="16">
        <f t="shared" si="15"/>
        <v>1068584434.0572187</v>
      </c>
      <c r="F84" s="36">
        <f t="shared" si="16"/>
        <v>7420725.2365084635</v>
      </c>
      <c r="G84" s="48"/>
    </row>
    <row r="85" spans="2:7" ht="12.75" customHeight="1" x14ac:dyDescent="0.25">
      <c r="B85" s="35">
        <f t="shared" si="11"/>
        <v>120</v>
      </c>
      <c r="C85" s="68">
        <f t="shared" si="14"/>
        <v>72194.841008202071</v>
      </c>
      <c r="D85" s="61">
        <f>B85*C85/'Feature Game Calculations'!C$80</f>
        <v>2.5109411255769938E-2</v>
      </c>
      <c r="E85" s="16">
        <f t="shared" si="15"/>
        <v>1039605710.5181098</v>
      </c>
      <c r="F85" s="36">
        <f t="shared" si="16"/>
        <v>8663380.9209842477</v>
      </c>
      <c r="G85" s="48"/>
    </row>
    <row r="86" spans="2:7" ht="12.75" customHeight="1" x14ac:dyDescent="0.25">
      <c r="B86" s="35">
        <f t="shared" si="11"/>
        <v>100</v>
      </c>
      <c r="C86" s="68">
        <f t="shared" si="14"/>
        <v>65152</v>
      </c>
      <c r="D86" s="61">
        <f>B86*C86/'Feature Game Calculations'!C$80</f>
        <v>1.8883255591052379E-2</v>
      </c>
      <c r="E86" s="16">
        <f t="shared" si="15"/>
        <v>651520000</v>
      </c>
      <c r="F86" s="36">
        <f t="shared" si="16"/>
        <v>6515200</v>
      </c>
      <c r="G86" s="48"/>
    </row>
    <row r="87" spans="2:7" ht="12.75" customHeight="1" x14ac:dyDescent="0.25">
      <c r="B87" s="35">
        <f t="shared" si="11"/>
        <v>90</v>
      </c>
      <c r="C87" s="68">
        <f t="shared" si="14"/>
        <v>6316.6406092028328</v>
      </c>
      <c r="D87" s="61">
        <f>B87*C87/'Feature Game Calculations'!C$80</f>
        <v>1.6476986921408108E-3</v>
      </c>
      <c r="E87" s="16">
        <f t="shared" si="15"/>
        <v>51164788.934542947</v>
      </c>
      <c r="F87" s="36">
        <f t="shared" si="16"/>
        <v>568497.65482825495</v>
      </c>
      <c r="G87" s="48"/>
    </row>
    <row r="88" spans="2:7" ht="12.75" customHeight="1" x14ac:dyDescent="0.25">
      <c r="B88" s="35">
        <f t="shared" si="11"/>
        <v>80</v>
      </c>
      <c r="C88" s="68">
        <f t="shared" si="14"/>
        <v>61920</v>
      </c>
      <c r="D88" s="61">
        <f>B88*C88/'Feature Game Calculations'!C$80</f>
        <v>1.4357210046635108E-2</v>
      </c>
      <c r="E88" s="16">
        <f t="shared" si="15"/>
        <v>396288000</v>
      </c>
      <c r="F88" s="36">
        <f t="shared" si="16"/>
        <v>4953600</v>
      </c>
      <c r="G88" s="48"/>
    </row>
    <row r="89" spans="2:7" ht="12.75" customHeight="1" x14ac:dyDescent="0.25">
      <c r="B89" s="35">
        <f t="shared" si="11"/>
        <v>72</v>
      </c>
      <c r="C89" s="68">
        <f t="shared" si="14"/>
        <v>18795.87457889854</v>
      </c>
      <c r="D89" s="61">
        <f>B89*C89/'Feature Game Calculations'!C$80</f>
        <v>3.922330222957203E-3</v>
      </c>
      <c r="E89" s="16">
        <f t="shared" si="15"/>
        <v>97437813.81701003</v>
      </c>
      <c r="F89" s="36">
        <f t="shared" si="16"/>
        <v>1353302.9696806949</v>
      </c>
      <c r="G89" s="48"/>
    </row>
    <row r="90" spans="2:7" ht="12.75" customHeight="1" x14ac:dyDescent="0.25">
      <c r="B90" s="35">
        <f t="shared" si="11"/>
        <v>60</v>
      </c>
      <c r="C90" s="68">
        <f t="shared" si="14"/>
        <v>350331.91369151766</v>
      </c>
      <c r="D90" s="61">
        <f>B90*C90/'Feature Game Calculations'!C$80</f>
        <v>6.0922830316239837E-2</v>
      </c>
      <c r="E90" s="16">
        <f t="shared" si="15"/>
        <v>1261194889.2894635</v>
      </c>
      <c r="F90" s="36">
        <f t="shared" si="16"/>
        <v>21019914.821491059</v>
      </c>
      <c r="G90" s="48"/>
    </row>
    <row r="91" spans="2:7" ht="12.75" customHeight="1" x14ac:dyDescent="0.25">
      <c r="B91" s="35">
        <f t="shared" si="11"/>
        <v>50</v>
      </c>
      <c r="C91" s="68">
        <f t="shared" si="14"/>
        <v>3104</v>
      </c>
      <c r="D91" s="61">
        <f>B91*C91/'Feature Game Calculations'!C$80</f>
        <v>4.4982214939392941E-4</v>
      </c>
      <c r="E91" s="16">
        <f t="shared" si="15"/>
        <v>7760000</v>
      </c>
      <c r="F91" s="36">
        <f t="shared" si="16"/>
        <v>155200</v>
      </c>
      <c r="G91" s="48"/>
    </row>
    <row r="92" spans="2:7" ht="12.75" customHeight="1" x14ac:dyDescent="0.25">
      <c r="B92" s="35">
        <f t="shared" si="11"/>
        <v>48</v>
      </c>
      <c r="C92" s="68">
        <f t="shared" si="14"/>
        <v>636076.40522102907</v>
      </c>
      <c r="D92" s="61">
        <f>B92*C92/'Feature Game Calculations'!C$80</f>
        <v>8.8491110033594014E-2</v>
      </c>
      <c r="E92" s="16">
        <f t="shared" si="15"/>
        <v>1465520037.629251</v>
      </c>
      <c r="F92" s="36">
        <f t="shared" si="16"/>
        <v>30531667.450609393</v>
      </c>
      <c r="G92" s="48"/>
    </row>
    <row r="93" spans="2:7" ht="12.75" customHeight="1" x14ac:dyDescent="0.25">
      <c r="B93" s="35">
        <f t="shared" si="11"/>
        <v>40</v>
      </c>
      <c r="C93" s="68">
        <f t="shared" si="14"/>
        <v>734356</v>
      </c>
      <c r="D93" s="61">
        <f>B93*C93/'Feature Game Calculations'!C$80</f>
        <v>8.5136493386682582E-2</v>
      </c>
      <c r="E93" s="16">
        <f t="shared" si="15"/>
        <v>1174969600</v>
      </c>
      <c r="F93" s="36">
        <f t="shared" si="16"/>
        <v>29374240</v>
      </c>
      <c r="G93" s="48"/>
    </row>
    <row r="94" spans="2:7" ht="12.75" customHeight="1" x14ac:dyDescent="0.25">
      <c r="B94" s="35">
        <f t="shared" si="11"/>
        <v>36</v>
      </c>
      <c r="C94" s="68">
        <f t="shared" si="14"/>
        <v>95941.470591075151</v>
      </c>
      <c r="D94" s="61">
        <f>B94*C94/'Feature Game Calculations'!C$80</f>
        <v>1.0010551202464614E-2</v>
      </c>
      <c r="E94" s="16">
        <f t="shared" si="15"/>
        <v>124340145.8860334</v>
      </c>
      <c r="F94" s="36">
        <f t="shared" si="16"/>
        <v>3453892.9412787054</v>
      </c>
      <c r="G94" s="48"/>
    </row>
    <row r="95" spans="2:7" ht="12.75" customHeight="1" x14ac:dyDescent="0.25">
      <c r="B95" s="35">
        <f t="shared" si="11"/>
        <v>30</v>
      </c>
      <c r="C95" s="68">
        <f t="shared" si="14"/>
        <v>168114.52007305494</v>
      </c>
      <c r="D95" s="61">
        <f>B95*C95/'Feature Game Calculations'!C$80</f>
        <v>1.4617584039353829E-2</v>
      </c>
      <c r="E95" s="16">
        <f t="shared" si="15"/>
        <v>151303068.06574944</v>
      </c>
      <c r="F95" s="36">
        <f t="shared" si="16"/>
        <v>5043435.6021916484</v>
      </c>
      <c r="G95" s="48"/>
    </row>
    <row r="96" spans="2:7" ht="12.75" customHeight="1" x14ac:dyDescent="0.25">
      <c r="B96" s="35">
        <f t="shared" si="11"/>
        <v>24</v>
      </c>
      <c r="C96" s="68">
        <f t="shared" si="14"/>
        <v>245510.33227930215</v>
      </c>
      <c r="D96" s="61">
        <f>B96*C96/'Feature Game Calculations'!C$80</f>
        <v>1.7077729695509306E-2</v>
      </c>
      <c r="E96" s="16">
        <f t="shared" si="15"/>
        <v>141413951.39287803</v>
      </c>
      <c r="F96" s="36">
        <f t="shared" si="16"/>
        <v>5892247.9747032514</v>
      </c>
      <c r="G96" s="48"/>
    </row>
    <row r="97" spans="1:7" ht="12.75" customHeight="1" x14ac:dyDescent="0.25">
      <c r="B97" s="35">
        <f t="shared" si="11"/>
        <v>20</v>
      </c>
      <c r="C97" s="68">
        <f t="shared" si="14"/>
        <v>923904</v>
      </c>
      <c r="D97" s="61">
        <f>B97*C97/'Feature Game Calculations'!C$80</f>
        <v>5.3555732360006311E-2</v>
      </c>
      <c r="E97" s="16">
        <f t="shared" si="15"/>
        <v>369561600</v>
      </c>
      <c r="F97" s="36">
        <f t="shared" si="16"/>
        <v>18478080</v>
      </c>
      <c r="G97" s="48"/>
    </row>
    <row r="98" spans="1:7" ht="12.75" customHeight="1" x14ac:dyDescent="0.25">
      <c r="B98" s="35">
        <f t="shared" si="11"/>
        <v>18</v>
      </c>
      <c r="C98" s="68">
        <f t="shared" si="14"/>
        <v>37796.86412457253</v>
      </c>
      <c r="D98" s="61">
        <f>B98*C98/'Feature Game Calculations'!C$80</f>
        <v>1.9718659787086295E-3</v>
      </c>
      <c r="E98" s="16">
        <f t="shared" si="15"/>
        <v>12246183.9763615</v>
      </c>
      <c r="F98" s="36">
        <f t="shared" si="16"/>
        <v>680343.55424230557</v>
      </c>
      <c r="G98" s="48"/>
    </row>
    <row r="99" spans="1:7" ht="12.75" customHeight="1" x14ac:dyDescent="0.25">
      <c r="B99" s="35">
        <f t="shared" si="11"/>
        <v>16</v>
      </c>
      <c r="C99" s="68">
        <f t="shared" si="14"/>
        <v>913512</v>
      </c>
      <c r="D99" s="61">
        <f>B99*C99/'Feature Game Calculations'!C$80</f>
        <v>4.2362673333726522E-2</v>
      </c>
      <c r="E99" s="16">
        <f t="shared" si="15"/>
        <v>233859072</v>
      </c>
      <c r="F99" s="36">
        <f t="shared" si="16"/>
        <v>14616192</v>
      </c>
      <c r="G99" s="48"/>
    </row>
    <row r="100" spans="1:7" ht="12.75" customHeight="1" x14ac:dyDescent="0.25">
      <c r="B100" s="35">
        <f t="shared" si="11"/>
        <v>12</v>
      </c>
      <c r="C100" s="68">
        <f t="shared" si="14"/>
        <v>1653320.3385094404</v>
      </c>
      <c r="D100" s="61">
        <f>B100*C100/'Feature Game Calculations'!C$80</f>
        <v>5.7502585693686763E-2</v>
      </c>
      <c r="E100" s="16">
        <f t="shared" si="15"/>
        <v>238078128.74535942</v>
      </c>
      <c r="F100" s="36">
        <f t="shared" si="16"/>
        <v>19839844.062113285</v>
      </c>
      <c r="G100" s="48"/>
    </row>
    <row r="101" spans="1:7" ht="12.75" customHeight="1" x14ac:dyDescent="0.25">
      <c r="B101" s="35">
        <f t="shared" si="11"/>
        <v>10</v>
      </c>
      <c r="C101" s="68">
        <f t="shared" si="14"/>
        <v>235314</v>
      </c>
      <c r="D101" s="61">
        <f>B101*C101/'Feature Game Calculations'!C$80</f>
        <v>6.8201964730981385E-3</v>
      </c>
      <c r="E101" s="16">
        <f t="shared" si="15"/>
        <v>23531400</v>
      </c>
      <c r="F101" s="36">
        <f t="shared" si="16"/>
        <v>2353140</v>
      </c>
      <c r="G101" s="48"/>
    </row>
    <row r="102" spans="1:7" ht="12.75" customHeight="1" x14ac:dyDescent="0.25">
      <c r="B102" s="35">
        <f t="shared" si="11"/>
        <v>8</v>
      </c>
      <c r="C102" s="68">
        <f t="shared" si="14"/>
        <v>1145256</v>
      </c>
      <c r="D102" s="61">
        <f>B102*C102/'Feature Game Calculations'!C$80</f>
        <v>2.6554717295169797E-2</v>
      </c>
      <c r="E102" s="16">
        <f t="shared" si="15"/>
        <v>73296384</v>
      </c>
      <c r="F102" s="36">
        <f t="shared" si="16"/>
        <v>9162048</v>
      </c>
      <c r="G102" s="48"/>
    </row>
    <row r="103" spans="1:7" ht="12.75" customHeight="1" x14ac:dyDescent="0.25">
      <c r="B103" s="35">
        <f t="shared" si="11"/>
        <v>6</v>
      </c>
      <c r="C103" s="68">
        <f t="shared" si="14"/>
        <v>1873203.6623060415</v>
      </c>
      <c r="D103" s="61">
        <f>B103*C103/'Feature Game Calculations'!C$80</f>
        <v>3.2575070784706853E-2</v>
      </c>
      <c r="E103" s="16">
        <f t="shared" si="15"/>
        <v>67435331.843017489</v>
      </c>
      <c r="F103" s="36">
        <f t="shared" si="16"/>
        <v>11239221.973836249</v>
      </c>
      <c r="G103" s="48" t="s">
        <v>115</v>
      </c>
    </row>
    <row r="104" spans="1:7" ht="12.75" customHeight="1" x14ac:dyDescent="0.25">
      <c r="B104" s="35">
        <f t="shared" si="11"/>
        <v>4</v>
      </c>
      <c r="C104" s="68">
        <f t="shared" si="14"/>
        <v>2661260</v>
      </c>
      <c r="D104" s="61">
        <f>B104*C104/'Feature Game Calculations'!C$80</f>
        <v>3.0852930239589915E-2</v>
      </c>
      <c r="E104" s="16">
        <f t="shared" si="15"/>
        <v>42580160</v>
      </c>
      <c r="F104" s="36">
        <f t="shared" si="16"/>
        <v>10645040</v>
      </c>
      <c r="G104" s="48"/>
    </row>
    <row r="105" spans="1:7" ht="12.75" customHeight="1" x14ac:dyDescent="0.25">
      <c r="B105" s="35">
        <f t="shared" si="11"/>
        <v>2</v>
      </c>
      <c r="C105" s="68">
        <f t="shared" si="14"/>
        <v>22408096</v>
      </c>
      <c r="D105" s="61">
        <f>B105*C105/'Feature Game Calculations'!C$80</f>
        <v>0.12989249879568959</v>
      </c>
      <c r="E105" s="16">
        <f t="shared" si="15"/>
        <v>89632384</v>
      </c>
      <c r="F105" s="36">
        <f t="shared" si="16"/>
        <v>44816192</v>
      </c>
      <c r="G105" s="48"/>
    </row>
    <row r="106" spans="1:7" ht="12.75" customHeight="1" thickBot="1" x14ac:dyDescent="0.35">
      <c r="B106" s="37" t="str">
        <f>'Base Game Calculations'!A78</f>
        <v>Total:</v>
      </c>
      <c r="C106" s="71">
        <f>SUM(C64:C105)</f>
        <v>34495632.186910063</v>
      </c>
      <c r="D106" s="59">
        <f>SUM(D64:D105)</f>
        <v>0.95399734846349471</v>
      </c>
      <c r="E106" s="72">
        <f>SUM(E64:E105)</f>
        <v>85224069456.911362</v>
      </c>
      <c r="F106" s="72">
        <f>SUM(F64:F105)</f>
        <v>329153174.60695171</v>
      </c>
      <c r="G106" s="69"/>
    </row>
    <row r="108" spans="1:7" ht="12.75" customHeight="1" x14ac:dyDescent="0.3">
      <c r="A108" s="4"/>
      <c r="B108" t="s">
        <v>116</v>
      </c>
      <c r="D108" s="23">
        <f>D106</f>
        <v>0.95399734846349471</v>
      </c>
    </row>
    <row r="109" spans="1:7" ht="12.75" customHeight="1" x14ac:dyDescent="0.25">
      <c r="B109" t="s">
        <v>117</v>
      </c>
      <c r="D109">
        <f>F106/'Base Game Calculations'!C80</f>
        <v>0.95399734846349471</v>
      </c>
      <c r="F109" s="70"/>
    </row>
    <row r="110" spans="1:7" ht="12.75" customHeight="1" x14ac:dyDescent="0.25">
      <c r="B110" t="s">
        <v>118</v>
      </c>
      <c r="D110">
        <f>(SQRT((E106)/'Base Game Calculations'!C80-D109^2))</f>
        <v>15.687514095196679</v>
      </c>
    </row>
    <row r="112" spans="1:7" ht="12.75" customHeight="1" x14ac:dyDescent="0.35">
      <c r="A112" s="24"/>
      <c r="B112" s="25" t="s">
        <v>119</v>
      </c>
      <c r="C112" s="161"/>
      <c r="D112" s="161"/>
      <c r="E112" s="161"/>
      <c r="F112" s="161"/>
    </row>
    <row r="113" spans="1:7" ht="12.75" customHeight="1" thickBot="1" x14ac:dyDescent="0.35">
      <c r="A113" s="24"/>
      <c r="B113" s="26" t="s">
        <v>120</v>
      </c>
      <c r="C113" s="161"/>
      <c r="D113" s="161"/>
      <c r="E113" s="161"/>
      <c r="F113" s="27" t="s">
        <v>121</v>
      </c>
    </row>
    <row r="114" spans="1:7" ht="12.75" customHeight="1" thickBot="1" x14ac:dyDescent="0.35">
      <c r="A114" s="28"/>
      <c r="B114" s="29" t="s">
        <v>122</v>
      </c>
      <c r="C114" s="30" t="s">
        <v>123</v>
      </c>
      <c r="D114" s="30" t="s">
        <v>124</v>
      </c>
      <c r="E114" s="30" t="s">
        <v>125</v>
      </c>
      <c r="F114" s="30" t="s">
        <v>124</v>
      </c>
      <c r="G114" s="30" t="s">
        <v>125</v>
      </c>
    </row>
    <row r="115" spans="1:7" ht="12.75" customHeight="1" x14ac:dyDescent="0.25">
      <c r="A115" s="24"/>
      <c r="B115" s="162">
        <v>50000</v>
      </c>
      <c r="C115" s="163">
        <f>1.96*D$110/SQRT(B115)*100</f>
        <v>13.750712382619588</v>
      </c>
      <c r="D115" s="164">
        <f>((D$108*100)+C115)</f>
        <v>109.15044722896906</v>
      </c>
      <c r="E115" s="164">
        <f>((D$108*100)-C115)</f>
        <v>81.649022463729892</v>
      </c>
      <c r="F115" s="164">
        <f t="shared" ref="F115:F129" si="17">100-E115</f>
        <v>18.350977536270108</v>
      </c>
      <c r="G115" s="164">
        <f t="shared" ref="G115:G125" si="18">100-D115</f>
        <v>-9.1504472289690568</v>
      </c>
    </row>
    <row r="116" spans="1:7" ht="12.75" customHeight="1" x14ac:dyDescent="0.25">
      <c r="A116" s="24"/>
      <c r="B116" s="162">
        <f>B115*2</f>
        <v>100000</v>
      </c>
      <c r="C116" s="163">
        <f t="shared" ref="C116:C125" si="19">1.96*D$110/SQRT(B116)*100</f>
        <v>9.7232219718961357</v>
      </c>
      <c r="D116" s="164">
        <f t="shared" ref="D116:D129" si="20">((D$108*100)+C116)</f>
        <v>105.12295681824561</v>
      </c>
      <c r="E116" s="164">
        <f t="shared" ref="E116:E125" si="21">((D$108*100)-C116)</f>
        <v>85.676512874453337</v>
      </c>
      <c r="F116" s="164">
        <f t="shared" si="17"/>
        <v>14.323487125546663</v>
      </c>
      <c r="G116" s="164">
        <f t="shared" si="18"/>
        <v>-5.122956818245612</v>
      </c>
    </row>
    <row r="117" spans="1:7" ht="12.75" customHeight="1" x14ac:dyDescent="0.25">
      <c r="A117" s="24"/>
      <c r="B117" s="162">
        <f>B116*2</f>
        <v>200000</v>
      </c>
      <c r="C117" s="163">
        <f t="shared" si="19"/>
        <v>6.8753561913097938</v>
      </c>
      <c r="D117" s="164">
        <f t="shared" si="20"/>
        <v>102.27509103765927</v>
      </c>
      <c r="E117" s="164">
        <f t="shared" si="21"/>
        <v>88.524378655039683</v>
      </c>
      <c r="F117" s="164">
        <f t="shared" si="17"/>
        <v>11.475621344960317</v>
      </c>
      <c r="G117" s="164">
        <f t="shared" si="18"/>
        <v>-2.2750910376592657</v>
      </c>
    </row>
    <row r="118" spans="1:7" ht="12.75" customHeight="1" x14ac:dyDescent="0.25">
      <c r="A118" s="24"/>
      <c r="B118" s="162">
        <f>B116*3</f>
        <v>300000</v>
      </c>
      <c r="C118" s="163">
        <f t="shared" si="19"/>
        <v>5.6137048228647179</v>
      </c>
      <c r="D118" s="164">
        <f t="shared" si="20"/>
        <v>101.01343966921419</v>
      </c>
      <c r="E118" s="164">
        <f t="shared" si="21"/>
        <v>89.786030023484756</v>
      </c>
      <c r="F118" s="164">
        <f t="shared" si="17"/>
        <v>10.213969976515244</v>
      </c>
      <c r="G118" s="164">
        <f t="shared" si="18"/>
        <v>-1.0134396692141934</v>
      </c>
    </row>
    <row r="119" spans="1:7" ht="12.75" customHeight="1" x14ac:dyDescent="0.25">
      <c r="A119" s="24"/>
      <c r="B119" s="162">
        <f>B116*4</f>
        <v>400000</v>
      </c>
      <c r="C119" s="163">
        <f t="shared" si="19"/>
        <v>4.8616109859480678</v>
      </c>
      <c r="D119" s="164">
        <f t="shared" si="20"/>
        <v>100.26134583229754</v>
      </c>
      <c r="E119" s="164">
        <f t="shared" si="21"/>
        <v>90.538123860401413</v>
      </c>
      <c r="F119" s="164">
        <f t="shared" si="17"/>
        <v>9.4618761395985871</v>
      </c>
      <c r="G119" s="164">
        <f t="shared" si="18"/>
        <v>-0.26134583229753616</v>
      </c>
    </row>
    <row r="120" spans="1:7" ht="12.75" customHeight="1" x14ac:dyDescent="0.25">
      <c r="A120" s="24"/>
      <c r="B120" s="162">
        <f>B116*5</f>
        <v>500000</v>
      </c>
      <c r="C120" s="163">
        <f t="shared" si="19"/>
        <v>4.3483570578958624</v>
      </c>
      <c r="D120" s="164">
        <f t="shared" si="20"/>
        <v>99.748091904245342</v>
      </c>
      <c r="E120" s="164">
        <f t="shared" si="21"/>
        <v>91.051377788453607</v>
      </c>
      <c r="F120" s="164">
        <f t="shared" si="17"/>
        <v>8.9486222115463931</v>
      </c>
      <c r="G120" s="164">
        <f t="shared" si="18"/>
        <v>0.25190809575465778</v>
      </c>
    </row>
    <row r="121" spans="1:7" ht="12.75" customHeight="1" x14ac:dyDescent="0.25">
      <c r="A121" s="24"/>
      <c r="B121" s="162">
        <f>B116*6</f>
        <v>600000</v>
      </c>
      <c r="C121" s="163">
        <f t="shared" si="19"/>
        <v>3.9694887478272691</v>
      </c>
      <c r="D121" s="164">
        <f t="shared" si="20"/>
        <v>99.369223594176745</v>
      </c>
      <c r="E121" s="164">
        <f t="shared" si="21"/>
        <v>91.430246098522204</v>
      </c>
      <c r="F121" s="164">
        <f t="shared" si="17"/>
        <v>8.5697539014777959</v>
      </c>
      <c r="G121" s="164">
        <f t="shared" si="18"/>
        <v>0.630776405823255</v>
      </c>
    </row>
    <row r="122" spans="1:7" ht="12.75" customHeight="1" x14ac:dyDescent="0.25">
      <c r="A122" s="24"/>
      <c r="B122" s="162">
        <f>B116*7</f>
        <v>700000</v>
      </c>
      <c r="C122" s="163">
        <f t="shared" si="19"/>
        <v>3.6750324685594622</v>
      </c>
      <c r="D122" s="164">
        <f t="shared" si="20"/>
        <v>99.074767314908939</v>
      </c>
      <c r="E122" s="164">
        <f t="shared" si="21"/>
        <v>91.72470237779001</v>
      </c>
      <c r="F122" s="164">
        <f t="shared" si="17"/>
        <v>8.2752976222099903</v>
      </c>
      <c r="G122" s="164">
        <f t="shared" si="18"/>
        <v>0.9252326850910606</v>
      </c>
    </row>
    <row r="123" spans="1:7" ht="12.75" customHeight="1" x14ac:dyDescent="0.25">
      <c r="A123" s="24"/>
      <c r="B123" s="162">
        <f>B116*8</f>
        <v>800000</v>
      </c>
      <c r="C123" s="163">
        <f t="shared" si="19"/>
        <v>3.4376780956548969</v>
      </c>
      <c r="D123" s="164">
        <f t="shared" si="20"/>
        <v>98.837412942004377</v>
      </c>
      <c r="E123" s="164">
        <f t="shared" si="21"/>
        <v>91.962056750694572</v>
      </c>
      <c r="F123" s="164">
        <f t="shared" si="17"/>
        <v>8.0379432493054281</v>
      </c>
      <c r="G123" s="164">
        <f t="shared" si="18"/>
        <v>1.1625870579956228</v>
      </c>
    </row>
    <row r="124" spans="1:7" ht="12.75" customHeight="1" x14ac:dyDescent="0.25">
      <c r="A124" s="24"/>
      <c r="B124" s="162">
        <f>B116*9</f>
        <v>900000</v>
      </c>
      <c r="C124" s="163">
        <f t="shared" si="19"/>
        <v>3.2410739906320458</v>
      </c>
      <c r="D124" s="164">
        <f t="shared" si="20"/>
        <v>98.64080883698152</v>
      </c>
      <c r="E124" s="164">
        <f t="shared" si="21"/>
        <v>92.158660855717429</v>
      </c>
      <c r="F124" s="164">
        <f t="shared" si="17"/>
        <v>7.8413391442825713</v>
      </c>
      <c r="G124" s="164">
        <f t="shared" si="18"/>
        <v>1.3591911630184796</v>
      </c>
    </row>
    <row r="125" spans="1:7" ht="12.75" customHeight="1" x14ac:dyDescent="0.25">
      <c r="A125" s="24"/>
      <c r="B125" s="162">
        <v>1000000</v>
      </c>
      <c r="C125" s="163">
        <f t="shared" si="19"/>
        <v>3.0747527626585494</v>
      </c>
      <c r="D125" s="164">
        <f t="shared" si="20"/>
        <v>98.474487609008023</v>
      </c>
      <c r="E125" s="164">
        <f t="shared" si="21"/>
        <v>92.324982083690927</v>
      </c>
      <c r="F125" s="164">
        <f t="shared" si="17"/>
        <v>7.6750179163090735</v>
      </c>
      <c r="G125" s="164">
        <f t="shared" si="18"/>
        <v>1.5255123909919774</v>
      </c>
    </row>
    <row r="126" spans="1:7" ht="12.75" customHeight="1" x14ac:dyDescent="0.25">
      <c r="B126" s="162">
        <v>10000000</v>
      </c>
      <c r="C126" s="163">
        <f>1.96*D$110/SQRT(B126)*100</f>
        <v>0.97232219718961366</v>
      </c>
      <c r="D126" s="164">
        <f t="shared" si="20"/>
        <v>96.372057043539087</v>
      </c>
      <c r="E126" s="164">
        <f>((D$108*100)-C126)</f>
        <v>94.427412649159862</v>
      </c>
      <c r="F126" s="164">
        <f t="shared" si="17"/>
        <v>5.5725873508401378</v>
      </c>
      <c r="G126" s="164">
        <f>100-D126</f>
        <v>3.6279429564609131</v>
      </c>
    </row>
    <row r="127" spans="1:7" ht="12.75" customHeight="1" x14ac:dyDescent="0.25">
      <c r="B127" s="162">
        <v>50000000</v>
      </c>
      <c r="C127" s="163">
        <f>1.96*D$110/SQRT(B127)*100</f>
        <v>0.43483570578958625</v>
      </c>
      <c r="D127" s="164">
        <f t="shared" si="20"/>
        <v>95.834570552139056</v>
      </c>
      <c r="E127" s="164">
        <f>((D$108*100)-C127)</f>
        <v>94.964899140559893</v>
      </c>
      <c r="F127" s="164">
        <f t="shared" si="17"/>
        <v>5.0351008594401065</v>
      </c>
      <c r="G127" s="164">
        <f>100-D127</f>
        <v>4.1654294478609444</v>
      </c>
    </row>
    <row r="128" spans="1:7" ht="12.75" customHeight="1" x14ac:dyDescent="0.25">
      <c r="B128" s="162">
        <v>100000000</v>
      </c>
      <c r="C128" s="163">
        <f>1.96*D$110/SQRT(B128)*100</f>
        <v>0.30747527626585491</v>
      </c>
      <c r="D128" s="164">
        <f t="shared" si="20"/>
        <v>95.707210122615336</v>
      </c>
      <c r="E128" s="164">
        <f>((D$108*100)-C128)</f>
        <v>95.092259570083613</v>
      </c>
      <c r="F128" s="164">
        <f t="shared" si="17"/>
        <v>4.9077404299163874</v>
      </c>
      <c r="G128" s="164">
        <f>100-D128</f>
        <v>4.2927898773846636</v>
      </c>
    </row>
    <row r="129" spans="2:7" ht="12.75" customHeight="1" x14ac:dyDescent="0.25">
      <c r="B129" s="162">
        <v>500000000</v>
      </c>
      <c r="C129" s="163">
        <f>1.96*D$110/SQRT(B129)*100</f>
        <v>0.13750712382619584</v>
      </c>
      <c r="D129" s="164">
        <f t="shared" si="20"/>
        <v>95.537241970175671</v>
      </c>
      <c r="E129" s="164">
        <f>((D$108*100)-C129)</f>
        <v>95.262227722523278</v>
      </c>
      <c r="F129" s="164">
        <f t="shared" si="17"/>
        <v>4.7377722774767221</v>
      </c>
      <c r="G129" s="164">
        <f>100-D129</f>
        <v>4.4627580298243288</v>
      </c>
    </row>
  </sheetData>
  <phoneticPr fontId="0" type="noConversion"/>
  <pageMargins left="0.75" right="0.75" top="1" bottom="1" header="0.5" footer="0.5"/>
  <pageSetup paperSize="9" orientation="portrait" horizontalDpi="4294967292" verticalDpi="0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7C96A0878FE71499B6CB11C07E67C0F" ma:contentTypeVersion="20" ma:contentTypeDescription="Create a new document." ma:contentTypeScope="" ma:versionID="3d06dd8bf1ad7733b5d521cff4eb82c9">
  <xsd:schema xmlns:xsd="http://www.w3.org/2001/XMLSchema" xmlns:xs="http://www.w3.org/2001/XMLSchema" xmlns:p="http://schemas.microsoft.com/office/2006/metadata/properties" xmlns:ns1="http://schemas.microsoft.com/sharepoint/v3" xmlns:ns2="75279f82-9493-42dc-b732-46fba46c3a29" xmlns:ns3="f75529b5-ad45-4e9f-a8a5-382cc9c3a275" targetNamespace="http://schemas.microsoft.com/office/2006/metadata/properties" ma:root="true" ma:fieldsID="94d1438e6d52cf32cb29b75d95aa29b0" ns1:_="" ns2:_="" ns3:_="">
    <xsd:import namespace="http://schemas.microsoft.com/sharepoint/v3"/>
    <xsd:import namespace="75279f82-9493-42dc-b732-46fba46c3a29"/>
    <xsd:import namespace="f75529b5-ad45-4e9f-a8a5-382cc9c3a2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Comment" minOccurs="0"/>
                <xsd:element ref="ns2:ReportDate" minOccurs="0"/>
                <xsd:element ref="ns1:_ip_UnifiedCompliancePolicyProperties" minOccurs="0"/>
                <xsd:element ref="ns1:_ip_UnifiedCompliancePolicyUIAction" minOccurs="0"/>
                <xsd:element ref="ns2:MediaLengthInSecond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1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2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79f82-9493-42dc-b732-46fba46c3a2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Comment" ma:index="19" nillable="true" ma:displayName="Comment" ma:format="Dropdown" ma:internalName="Comment">
      <xsd:simpleType>
        <xsd:restriction base="dms:Text">
          <xsd:maxLength value="255"/>
        </xsd:restriction>
      </xsd:simpleType>
    </xsd:element>
    <xsd:element name="ReportDate" ma:index="20" nillable="true" ma:displayName="Report Date" ma:format="DateOnly" ma:internalName="ReportDate">
      <xsd:simpleType>
        <xsd:restriction base="dms:DateTime"/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b2071e73-04f4-498a-9252-22d43a43f50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5529b5-ad45-4e9f-a8a5-382cc9c3a27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e00a1cdd-8b48-4d4a-a518-49b1f1674e98}" ma:internalName="TaxCatchAll" ma:showField="CatchAllData" ma:web="f75529b5-ad45-4e9f-a8a5-382cc9c3a2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LongProperties xmlns="http://schemas.microsoft.com/office/2006/metadata/longProperties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0B8EA90-8AC2-4F98-BC48-148E4C4D1F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75279f82-9493-42dc-b732-46fba46c3a29"/>
    <ds:schemaRef ds:uri="f75529b5-ad45-4e9f-a8a5-382cc9c3a2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325314A-9DC7-4E2F-8441-86CA52DEBBC7}">
  <ds:schemaRefs>
    <ds:schemaRef ds:uri="http://schemas.microsoft.com/office/2006/metadata/longProperties"/>
  </ds:schemaRefs>
</ds:datastoreItem>
</file>

<file path=customXml/itemProps3.xml><?xml version="1.0" encoding="utf-8"?>
<ds:datastoreItem xmlns:ds="http://schemas.openxmlformats.org/officeDocument/2006/customXml" ds:itemID="{CD2A4B56-30B5-4B19-9D56-6AF285C7B44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5</vt:i4>
      </vt:variant>
    </vt:vector>
  </HeadingPairs>
  <TitlesOfParts>
    <vt:vector size="5" baseType="lpstr">
      <vt:lpstr>Game summary</vt:lpstr>
      <vt:lpstr>Base Game Calculations</vt:lpstr>
      <vt:lpstr>Feature Game Calculations</vt:lpstr>
      <vt:lpstr>Reel strips</vt:lpstr>
      <vt:lpstr>Standard Dev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Guzzon Elena</cp:lastModifiedBy>
  <cp:revision/>
  <dcterms:created xsi:type="dcterms:W3CDTF">1998-04-02T00:46:07Z</dcterms:created>
  <dcterms:modified xsi:type="dcterms:W3CDTF">2024-01-18T21:04:39Z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lcf76f155ced4ddcb4097134ff3c332f">
    <vt:lpwstr/>
  </property>
  <property fmtid="{D5CDD505-2E9C-101B-9397-08002B2CF9AE}" pid="4" name="TaxCatchAll">
    <vt:lpwstr/>
  </property>
  <property fmtid="{D5CDD505-2E9C-101B-9397-08002B2CF9AE}" pid="5" name="_ip_UnifiedCompliancePolicyUIAction">
    <vt:lpwstr/>
  </property>
  <property fmtid="{D5CDD505-2E9C-101B-9397-08002B2CF9AE}" pid="6" name="_ip_UnifiedCompliancePolicyProperties">
    <vt:lpwstr/>
  </property>
  <property fmtid="{D5CDD505-2E9C-101B-9397-08002B2CF9AE}" pid="7" name="Comment">
    <vt:lpwstr/>
  </property>
  <property fmtid="{D5CDD505-2E9C-101B-9397-08002B2CF9AE}" pid="8" name="ReportDate">
    <vt:lpwstr/>
  </property>
</Properties>
</file>